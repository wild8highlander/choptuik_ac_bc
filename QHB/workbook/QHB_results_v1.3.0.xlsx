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зор" sheetId="1" state="visible" r:id="rId3"/>
    <sheet name="C1 зазор" sheetId="2" state="visible" r:id="rId4"/>
    <sheet name="C2 струна" sheetId="3" state="visible" r:id="rId5"/>
    <sheet name="C3 мост" sheetId="4" state="visible" r:id="rId6"/>
    <sheet name="C4 детектор" sheetId="5" state="visible" r:id="rId7"/>
    <sheet name="C5 три тела" sheetId="6" state="visible" r:id="rId8"/>
    <sheet name="C6 Y-струны" sheetId="7" state="visible" r:id="rId9"/>
    <sheet name="C7 туннель" sheetId="8" state="visible" r:id="rId10"/>
    <sheet name="C8 бутстрап" sheetId="9" state="visible" r:id="rId11"/>
    <sheet name="C9 фазкарта" sheetId="10" state="visible" r:id="rId12"/>
    <sheet name="C10 модели" sheetId="11" state="visible" r:id="rId13"/>
    <sheet name="C11 якорь" sheetId="12" state="visible" r:id="rId14"/>
    <sheet name="C12 замок" sheetId="13" state="visible" r:id="rId15"/>
    <sheet name="Теоремы" sheetId="14" state="visible" r:id="rId16"/>
    <sheet name="Утверждения" sheetId="15" state="visible" r:id="rId17"/>
    <sheet name="Аудит IVP-12" sheetId="16" state="visible" r:id="rId18"/>
    <sheet name="Глубокие проверки" sheetId="17" state="visible" r:id="rId19"/>
    <sheet name="Честные негативы" sheetId="18" state="visible" r:id="rId20"/>
    <sheet name="15 шагов" sheetId="19" state="visible" r:id="rId21"/>
    <sheet name="Twin-контроль" sheetId="20" state="visible" r:id="rId22"/>
    <sheet name="Воспроизводимость" sheetId="21" state="visible" r:id="rId23"/>
    <sheet name="Бюджеты" sheetId="22" state="visible" r:id="rId24"/>
    <sheet name="Фигуры" sheetId="23" state="visible" r:id="rId25"/>
    <sheet name="История" sheetId="24" state="visible" r:id="rId26"/>
    <sheet name="Источники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<sst xmlns="http://schemas.openxmlformats.org/spreadsheetml/2006/main" count="949" uniqueCount="680">
  <si>
    <t xml:space="preserve">Quark–Hawking Bridge v1.3.0 — обзор</t>
  </si>
  <si>
    <t xml:space="preserve">Показатель</t>
  </si>
  <si>
    <t xml:space="preserve">Значение</t>
  </si>
  <si>
    <t xml:space="preserve">Версия пакета</t>
  </si>
  <si>
    <t xml:space="preserve">1.3.0</t>
  </si>
  <si>
    <t xml:space="preserve">Кампании</t>
  </si>
  <si>
    <t xml:space="preserve">12 (C1–C12)</t>
  </si>
  <si>
    <t xml:space="preserve">Теоремы</t>
  </si>
  <si>
    <t xml:space="preserve">15 (T1–T15)</t>
  </si>
  <si>
    <t xml:space="preserve">Аудит IVP-12</t>
  </si>
  <si>
    <t xml:space="preserve">12/12 PASS</t>
  </si>
  <si>
    <t xml:space="preserve">Утверждения Evidence Engine</t>
  </si>
  <si>
    <t xml:space="preserve">Таблиц данных JSON</t>
  </si>
  <si>
    <t xml:space="preserve">Тестов pytest</t>
  </si>
  <si>
    <t xml:space="preserve">Twin-проверок</t>
  </si>
  <si>
    <t xml:space="preserve">51/51</t>
  </si>
  <si>
    <t xml:space="preserve">Детерминизм</t>
  </si>
  <si>
    <t xml:space="preserve">побайтно (0 дрейф)</t>
  </si>
  <si>
    <t xml:space="preserve">η_crit (замок C12)</t>
  </si>
  <si>
    <t xml:space="preserve">0.0908885</t>
  </si>
  <si>
    <t xml:space="preserve">Запас к η_B</t>
  </si>
  <si>
    <t xml:space="preserve">1.4899754098e8</t>
  </si>
  <si>
    <t xml:space="preserve">Источник: data/*.json; сборка 2026-10-10; все числа закреплены тестами.</t>
  </si>
  <si>
    <t xml:space="preserve">C1 — конечнобъёмный зазор: сетка 9×9</t>
  </si>
  <si>
    <t xml:space="preserve">L \ β</t>
  </si>
  <si>
    <t xml:space="preserve">Все ячейки OPEN; минимум 0.174490 при β=3.45625, L=6; порог 0.0363485.</t>
  </si>
  <si>
    <t xml:space="preserve">C2 — натяжение струны: скан σ(β)</t>
  </si>
  <si>
    <t xml:space="preserve">β</t>
  </si>
  <si>
    <t xml:space="preserve">σ измеренное</t>
  </si>
  <si>
    <t xml:space="preserve">σ закон</t>
  </si>
  <si>
    <t xml:space="preserve">|отклонение|</t>
  </si>
  <si>
    <t xml:space="preserve">Закон Вильсона точен в классе моделей; максимум отклонения 5.55e-17.</t>
  </si>
  <si>
    <t xml:space="preserve">C3 — мостовая температура T_c(β)</t>
  </si>
  <si>
    <t xml:space="preserve">T_c без поправок</t>
  </si>
  <si>
    <t xml:space="preserve">T_c с поправками</t>
  </si>
  <si>
    <t xml:space="preserve">Поправка, %</t>
  </si>
  <si>
    <t xml:space="preserve">Полная поправка при β*: 11.28% (π²/8, π⁵/704 — 100 знаков).</t>
  </si>
  <si>
    <t xml:space="preserve">C4 — аудит хвоста отклика детектора</t>
  </si>
  <si>
    <t xml:space="preserve">A_fit</t>
  </si>
  <si>
    <t xml:space="preserve">T_fit</t>
  </si>
  <si>
    <t xml:space="preserve">degenerate</t>
  </si>
  <si>
    <t xml:space="preserve">n_neg</t>
  </si>
  <si>
    <t xml:space="preserve">n_pos</t>
  </si>
  <si>
    <t xml:space="preserve">runs_z</t>
  </si>
  <si>
    <t xml:space="preserve">tail_amplitude_max</t>
  </si>
  <si>
    <t xml:space="preserve">tail_resolved</t>
  </si>
  <si>
    <t xml:space="preserve">upper_bound_95</t>
  </si>
  <si>
    <t xml:space="preserve">Хвост за E_max = 2.5 не разрешён: остатки знакопостоянны (50/50); заявлена только верхняя граница.</t>
  </si>
  <si>
    <t xml:space="preserve">C5 — свободное трёхчастичное бегство</t>
  </si>
  <si>
    <t xml:space="preserve">analytic</t>
  </si>
  <si>
    <t xml:space="preserve">binomial_se</t>
  </si>
  <si>
    <t xml:space="preserve">e_th</t>
  </si>
  <si>
    <t xml:space="preserve">e_th_pinned</t>
  </si>
  <si>
    <t xml:space="preserve">escapes</t>
  </si>
  <si>
    <t xml:space="preserve">n_trials</t>
  </si>
  <si>
    <t xml:space="preserve">p_esc</t>
  </si>
  <si>
    <t xml:space="preserve">seed</t>
  </si>
  <si>
    <t xml:space="preserve">Seed 777040 закреплён; аналитика и Монте-Карло согласованы в 3σ.</t>
  </si>
  <si>
    <t xml:space="preserve">C6 — спектр Y-струн (β* = 3.3583)</t>
  </si>
  <si>
    <t xml:space="preserve">Стороны</t>
  </si>
  <si>
    <t xml:space="preserve">Вершина (x, y)</t>
  </si>
  <si>
    <t xml:space="preserve">Сумма плеч</t>
  </si>
  <si>
    <t xml:space="preserve">E_Y</t>
  </si>
  <si>
    <t xml:space="preserve">1, 1, 1</t>
  </si>
  <si>
    <t xml:space="preserve">(0.5000, 0.2887)</t>
  </si>
  <si>
    <t xml:space="preserve">1.2, 1, 1</t>
  </si>
  <si>
    <t xml:space="preserve">(0.6000, 0.3464)</t>
  </si>
  <si>
    <t xml:space="preserve">1.5, 1, 1</t>
  </si>
  <si>
    <t xml:space="preserve">(0.7500, 0.4330)</t>
  </si>
  <si>
    <t xml:space="preserve">1, 1.2, 1</t>
  </si>
  <si>
    <t xml:space="preserve">(0.6371, 0.2722)</t>
  </si>
  <si>
    <t xml:space="preserve">1, 1, 1.2</t>
  </si>
  <si>
    <t xml:space="preserve">(0.3629, 0.2722)</t>
  </si>
  <si>
    <t xml:space="preserve">1.5, 1.5, 1</t>
  </si>
  <si>
    <t xml:space="preserve">(1.0612, 0.3752)</t>
  </si>
  <si>
    <t xml:space="preserve">2, 1.5, 1.5</t>
  </si>
  <si>
    <t xml:space="preserve">(1.0000, 0.5774)</t>
  </si>
  <si>
    <t xml:space="preserve">2, 2, 1</t>
  </si>
  <si>
    <t xml:space="preserve">(1.5955, 0.4120)</t>
  </si>
  <si>
    <t xml:space="preserve">2, 2, 2</t>
  </si>
  <si>
    <t xml:space="preserve">Вершина — точка Ферма (120°, SymPy); минимум в равносторонней форме.</t>
  </si>
  <si>
    <t xml:space="preserve">C7 — ВКБ-окно туннелирования</t>
  </si>
  <si>
    <t xml:space="preserve">S_zero</t>
  </si>
  <si>
    <t xml:space="preserve">T_zero</t>
  </si>
  <si>
    <t xml:space="preserve">closed</t>
  </si>
  <si>
    <t xml:space="preserve">level</t>
  </si>
  <si>
    <t xml:space="preserve">window_E_max</t>
  </si>
  <si>
    <t xml:space="preserve">S(0.0)</t>
  </si>
  <si>
    <t xml:space="preserve">S(0.25)</t>
  </si>
  <si>
    <t xml:space="preserve">S(0.5)</t>
  </si>
  <si>
    <t xml:space="preserve">S(1.0)</t>
  </si>
  <si>
    <t xml:space="preserve">S(2.0)</t>
  </si>
  <si>
    <t xml:space="preserve">T(0.0)</t>
  </si>
  <si>
    <t xml:space="preserve">T(0.25)</t>
  </si>
  <si>
    <t xml:space="preserve">T(0.5)</t>
  </si>
  <si>
    <t xml:space="preserve">T(1.0)</t>
  </si>
  <si>
    <t xml:space="preserve">T(2.0)</t>
  </si>
  <si>
    <t xml:space="preserve">Окно закрыто: T(0) &lt; 1e-12; открыто лишь при E &lt; 0.0059 (m_eff = 1/2).</t>
  </si>
  <si>
    <t xml:space="preserve">C8 — бутстрап дна долины</t>
  </si>
  <si>
    <t xml:space="preserve">boot_bias</t>
  </si>
  <si>
    <t xml:space="preserve">boot_mean</t>
  </si>
  <si>
    <t xml:space="preserve">boot_se</t>
  </si>
  <si>
    <t xml:space="preserve">ci95</t>
  </si>
  <si>
    <t xml:space="preserve">[0.185134970875, 0.222129970875]</t>
  </si>
  <si>
    <t xml:space="preserve">jackknife_bias</t>
  </si>
  <si>
    <t xml:space="preserve">n_boot</t>
  </si>
  <si>
    <t xml:space="preserve">theta_hat</t>
  </si>
  <si>
    <t xml:space="preserve">Seed 515003; смещение 0.38 boot_se; джекнайф согласен.</t>
  </si>
  <si>
    <t xml:space="preserve">C9 — фазовая карта 9×41</t>
  </si>
  <si>
    <t xml:space="preserve">ячеек</t>
  </si>
  <si>
    <t xml:space="preserve">OPEN</t>
  </si>
  <si>
    <t xml:space="preserve">all_open</t>
  </si>
  <si>
    <t xml:space="preserve">порог</t>
  </si>
  <si>
    <t xml:space="preserve">β* (парабола)</t>
  </si>
  <si>
    <t xml:space="preserve">Δ_F,min</t>
  </si>
  <si>
    <t xml:space="preserve">кривизна</t>
  </si>
  <si>
    <t xml:space="preserve">β_c наивный</t>
  </si>
  <si>
    <t xml:space="preserve">отношение у β_c</t>
  </si>
  <si>
    <t xml:space="preserve">фланговый корень</t>
  </si>
  <si>
    <t xml:space="preserve">фланговое отношение</t>
  </si>
  <si>
    <t xml:space="preserve">369/369 OPEN; наивная экстраполяция фальсифицирована прямым зондом (6.3×).</t>
  </si>
  <si>
    <t xml:space="preserve">C10 — конкурирующие каузальные модели</t>
  </si>
  <si>
    <t xml:space="preserve">доля A, %</t>
  </si>
  <si>
    <t xml:space="preserve">доля B, %</t>
  </si>
  <si>
    <t xml:space="preserve">доля C, %</t>
  </si>
  <si>
    <t xml:space="preserve">аддитивное смещение</t>
  </si>
  <si>
    <t xml:space="preserve">B2 на реальном сигнале</t>
  </si>
  <si>
    <t xml:space="preserve">B2 на чётном контроле</t>
  </si>
  <si>
    <t xml:space="preserve">степень внеоконных остатков</t>
  </si>
  <si>
    <t xml:space="preserve">макс. остаток</t>
  </si>
  <si>
    <t xml:space="preserve">Чётная секция аннигилируется точно (SymPy); вне окна модель невалидна (wing 4.071).</t>
  </si>
  <si>
    <t xml:space="preserve">C11 — вихревой якорь</t>
  </si>
  <si>
    <t xml:space="preserve">ω точное</t>
  </si>
  <si>
    <t xml:space="preserve">ω измеренное</t>
  </si>
  <si>
    <t xml:space="preserve">отклонение вращения</t>
  </si>
  <si>
    <t xml:space="preserve">a₀ / δ</t>
  </si>
  <si>
    <t xml:space="preserve">1.7 / 0.8627</t>
  </si>
  <si>
    <t xml:space="preserve">I₀</t>
  </si>
  <si>
    <t xml:space="preserve">H₀</t>
  </si>
  <si>
    <t xml:space="preserve">граница 2√I</t>
  </si>
  <si>
    <t xml:space="preserve">r_max</t>
  </si>
  <si>
    <t xml:space="preserve">дрейф I</t>
  </si>
  <si>
    <t xml:space="preserve">V*</t>
  </si>
  <si>
    <t xml:space="preserve">E_max выборки</t>
  </si>
  <si>
    <t xml:space="preserve">убеганий</t>
  </si>
  <si>
    <t xml:space="preserve">0/300</t>
  </si>
  <si>
    <t xml:space="preserve">Спектр {0,0,±iω,±iω}; SymPy-полином λ²(4π²λ²+9)²/(16π⁴); ограниченность Арефа.</t>
  </si>
  <si>
    <t xml:space="preserve">C12 — асимметричный замок</t>
  </si>
  <si>
    <t xml:space="preserve">η_B (Planck 2018)</t>
  </si>
  <si>
    <t xml:space="preserve">η_crit = Δ_F,min/2</t>
  </si>
  <si>
    <t xml:space="preserve">запас</t>
  </si>
  <si>
    <t xml:space="preserve">log₁₀ запаса</t>
  </si>
  <si>
    <t xml:space="preserve">карта η: OPEN</t>
  </si>
  <si>
    <t xml:space="preserve">39/41</t>
  </si>
  <si>
    <t xml:space="preserve">заполнение при η_B: насыщено</t>
  </si>
  <si>
    <t xml:space="preserve">заполнение при η_B: удары</t>
  </si>
  <si>
    <t xml:space="preserve">контроль η=0.5: насыщено</t>
  </si>
  <si>
    <t xml:space="preserve">T(0) попытки</t>
  </si>
  <si>
    <t xml:space="preserve">log₁₀ P(10³⁰ кварков)</t>
  </si>
  <si>
    <t xml:space="preserve">Худший профиль теряет ровно 2η (SymPy); заполнение самотормозится; наггеты исключены.</t>
  </si>
  <si>
    <t xml:space="preserve">Реестр теорем T1–T15</t>
  </si>
  <si>
    <t xml:space="preserve">ID</t>
  </si>
  <si>
    <t xml:space="preserve">Статус</t>
  </si>
  <si>
    <t xml:space="preserve">Формулировка (RU)</t>
  </si>
  <si>
    <t xml:space="preserve">T1</t>
  </si>
  <si>
    <t xml:space="preserve">exact</t>
  </si>
  <si>
    <t xml:space="preserve">Конечнобъёмный зазор Delta_F(beta, L) &gt; 0 во всей исследованной области (порог детектора Delta_thresh = 0.0363485).</t>
  </si>
  <si>
    <t xml:space="preserve">T2</t>
  </si>
  <si>
    <t xml:space="preserve">measured-law</t>
  </si>
  <si>
    <t xml:space="preserve">Закон Вильсона W = exp(-sigma R T) в модельном классе; sigma(beta) = 0.25 (Delta/Delta_min)^{3/2}.</t>
  </si>
  <si>
    <t xml:space="preserve">T3</t>
  </si>
  <si>
    <t xml:space="preserve">Квантовые спин-поправки моста равны pi^2/8 и pi^5/704 (проверено mpmath, 100 знаков).</t>
  </si>
  <si>
    <t xml:space="preserve">T4</t>
  </si>
  <si>
    <t xml:space="preserve">Мостовая температура T_c = sqrt(sigma)/2pi * (1 + pi^2/8b^2 + pi^5/704 b^4); полная поправка +11.28% при beta*.</t>
  </si>
  <si>
    <t xml:space="preserve">T5</t>
  </si>
  <si>
    <t xml:space="preserve">honest-negative</t>
  </si>
  <si>
    <t xml:space="preserve">Хвост отклика детектора при E &gt; E_max = 2.5 НЕ разрешён: остатки знакопостоянны (50/50 положительных), тест серий вырожден - случайность отвергается; заявляется только верхняя граница амплитуды.</t>
  </si>
  <si>
    <t xml:space="preserve">T6</t>
  </si>
  <si>
    <t xml:space="preserve">Свободное трёхчастичное бегство: P_esc = 0.2433 +/- 0.0043 (аналитически и Монте-Карло) - без мостовой связи бегство существенно.</t>
  </si>
  <si>
    <t xml:space="preserve">T7</t>
  </si>
  <si>
    <t xml:space="preserve">Вершина Y-струны - точка Ферма: углы 120 градусов (SymPy-проверка градиента).</t>
  </si>
  <si>
    <t xml:space="preserve">T8</t>
  </si>
  <si>
    <t xml:space="preserve">Спектр Y-струн E_Y = sigma * L_Fermat на 9 формах треугольника; минимум в равносторонней конфигурации.</t>
  </si>
  <si>
    <t xml:space="preserve">T9</t>
  </si>
  <si>
    <t xml:space="preserve">Туннельное окно закрыто: T(0) = exp(-2S(0)) = 9.21e-13 &lt; 1e-12; окно открыто лишь при E &lt; 0.0059.</t>
  </si>
  <si>
    <t xml:space="preserve">T10</t>
  </si>
  <si>
    <t xml:space="preserve">Бутстрап-смещение оценки дна долины мало: bias = 0.0046 (0.38 boot_se), джекнайф 0.0016; оба &lt;&lt; Delta_F,min (2.6%).</t>
  </si>
  <si>
    <t xml:space="preserve">T11</t>
  </si>
  <si>
    <t xml:space="preserve">Спектр равностороннего треугольника вихрей: {0, 0, +-(3/2pi)i, +-(3/2pi)i}; характеристический полином lam^2 (4 pi^2 lam^2 + 9)^2 / (16 pi^4) (SymPy, отклонение 0).</t>
  </si>
  <si>
    <t xml:space="preserve">T12</t>
  </si>
  <si>
    <t xml:space="preserve">Ограниченность по Арефу: H &lt; 0 влечёт ограниченность движения радиусом 2*sqrt(I); измерено r_max = 2.7654 &lt;&lt; 12 (стены нет); жёсткое вращение omega с отклонением &lt;= 2e-14.</t>
  </si>
  <si>
    <t xml:space="preserve">T13</t>
  </si>
  <si>
    <t xml:space="preserve">Статический барьер якорной секции V* = 0.9359375 (максимум V(s) = V* s^2 e^{2-2s} точно при s = 1); все 300 траекторий с E &lt; V* не убегают: 0/300.</t>
  </si>
  <si>
    <t xml:space="preserve">T14</t>
  </si>
  <si>
    <t xml:space="preserve">Асимметричный замок: при любой асимметрии eta &lt; eta_crit = Delta_F,min/2 = 0.0908885 барьер замыкания зазора остаётся положительным (худший случай: потеря ровно 2*eta, SymPy-неравенство).</t>
  </si>
  <si>
    <t xml:space="preserve">T15</t>
  </si>
  <si>
    <t xml:space="preserve">Свободные кварки как отдельные асимптотические состояния невозможны: заполнение щелей самотормозится (0 насыщенных ям за 1e6 шагов при eta_B), а вероятность макроскопического накопления (N ~ 10^30) &lt; 10^(-1.2e31).</t>
  </si>
  <si>
    <t xml:space="preserve">Полные бюджеты неопределённости — в data/claims.json.</t>
  </si>
  <si>
    <t xml:space="preserve">Evidence Engine — 30 утверждений</t>
  </si>
  <si>
    <t xml:space="preserve">RU</t>
  </si>
  <si>
    <t xml:space="preserve">EN</t>
  </si>
  <si>
    <t xml:space="preserve">Фальсификатор</t>
  </si>
  <si>
    <t xml:space="preserve">Finite-volume gap Delta_F(beta, L) &gt; 0 over the whole explored region (detector threshold Delta_thresh = 0.0363485).</t>
  </si>
  <si>
    <t xml:space="preserve">one CLOSED cell on the C1/C9 grid</t>
  </si>
  <si>
    <t xml:space="preserve">Wilson law W = exp(-sigma R T) in the model class; sigma(beta) = 0.25 (Delta/Delta_min)^{3/2}.</t>
  </si>
  <si>
    <t xml:space="preserve">log-slope fit deviating from sigma(beta) by &gt; 1e-12</t>
  </si>
  <si>
    <t xml:space="preserve">Quantum spin corrections of the bridge equal pi^2/8 and pi^5/704 (mpmath-verified, 100 digits).</t>
  </si>
  <si>
    <t xml:space="preserve">100-digit mismatch</t>
  </si>
  <si>
    <t xml:space="preserve">Bridge temperature T_c = sqrt(sigma)/2pi * (1 + pi^2/8b^2 + pi^5/704 b^4); total correction +11.28% at beta*.</t>
  </si>
  <si>
    <t xml:space="preserve">correction outside [0.11, 0.115] at beta*</t>
  </si>
  <si>
    <t xml:space="preserve">Detector response tail at E &gt; E_max = 2.5 is NOT resolved: residuals are sign-constant (50/50 positive), the runs test is degenerate - randomness is rejected; only an amplitude upper bound is claimed.</t>
  </si>
  <si>
    <t xml:space="preserve">runs test |z| &lt; 1.96 in the tail window</t>
  </si>
  <si>
    <t xml:space="preserve">Free three-body escape: P_esc = 0.2433 +/- 0.0043 (analytic and Monte-Carlo) - without the bridge coupling escape is substantial.</t>
  </si>
  <si>
    <t xml:space="preserve">MC p-hat outside analytic +/- 3 se</t>
  </si>
  <si>
    <t xml:space="preserve">Y-string vertex is the Fermat point: 120-degree angles (SymPy gradient check).</t>
  </si>
  <si>
    <t xml:space="preserve">SymPy gradient not identically zero at symmetric config</t>
  </si>
  <si>
    <t xml:space="preserve">Y-string spectrum E_Y = sigma * L_Fermat over 9 triangle shapes; minimum at the equilateral configuration.</t>
  </si>
  <si>
    <t xml:space="preserve">non-equilateral shape with lower E_Y</t>
  </si>
  <si>
    <t xml:space="preserve">Tunneling window is closed: T(0) = exp(-2S(0)) = 9.21e-13 &lt; 1e-12; open only for E &lt; 0.0059.</t>
  </si>
  <si>
    <t xml:space="preserve">T(0) &gt; 1e-12</t>
  </si>
  <si>
    <t xml:space="preserve">Bootstrap bias of the valley-floor estimate is small: bias = 0.0046 (0.38 boot_se), jackknife 0.0016; both &lt;&lt; Delta_F,min (2.6%).</t>
  </si>
  <si>
    <t xml:space="preserve">|bias| &gt; 0.5 * boot_se or &gt; 0.05 * Delta_F_min</t>
  </si>
  <si>
    <t xml:space="preserve">Equilateral vortex triangle spectrum: {0, 0, +-(3/2pi)i, +-(3/2pi)i}; characteristic polynomial lam^2 (4 pi^2 lam^2 + 9)^2 / (16 pi^4) (SymPy, zero deviation).</t>
  </si>
  <si>
    <t xml:space="preserve">any Re(lambda) != 0 or polynomial mismatch</t>
  </si>
  <si>
    <t xml:space="preserve">Aref boundedness: H &lt; 0 implies motion bounded by the radius 2*sqrt(I); measured r_max = 2.7654 &lt;&lt; 12 (no wall); rigid rotation omega with deviation &lt;= 2e-14.</t>
  </si>
  <si>
    <t xml:space="preserve">r_max &gt; 2*sqrt(I) or H &gt;= 0 run escaping</t>
  </si>
  <si>
    <t xml:space="preserve">Anchored-sector static barrier V* = 0.9359375 (maximum of V(s) = V* s^2 e^{2-2s} exactly at s = 1); all 300 trajectories with E &lt; V* fail to escape: 0/300.</t>
  </si>
  <si>
    <t xml:space="preserve">one escape with E &lt; V*</t>
  </si>
  <si>
    <t xml:space="preserve">Asymmetric lock: for any asymmetry eta &lt; eta_crit = Delta_F,min/2 = 0.0908885 the gap-closure barrier stays positive (worst case: loss exactly 2*eta, SymPy inequality).</t>
  </si>
  <si>
    <t xml:space="preserve">negative worst-case barrier at eta &lt; eta_crit</t>
  </si>
  <si>
    <t xml:space="preserve">Free quarks as separate asymptotic states are impossible: gap filling is self-limiting (0 saturated wells in 1e6 steps at eta_B) and the probability of a macroscopic accumulation (N ~ 1e30) is &lt; 10^(-1.2e31).</t>
  </si>
  <si>
    <t xml:space="preserve">saturated well at eta_B or P(nugget) &gt; 10^-300</t>
  </si>
  <si>
    <t xml:space="preserve">C1-RES</t>
  </si>
  <si>
    <t xml:space="preserve">Сетка C1 9x9: все ячейки OPEN; сеточный минимум 0.174490 при (beta, L) = (3.45625, 6).</t>
  </si>
  <si>
    <t xml:space="preserve">C1 9x9 grid: all cells OPEN; grid minimum 0.174490 at (beta, L) = (3.45625, 6).</t>
  </si>
  <si>
    <t xml:space="preserve">rerun deviates from pinned table</t>
  </si>
  <si>
    <t xml:space="preserve">C1-NEG</t>
  </si>
  <si>
    <t xml:space="preserve">Континуальный зазор Delta_cont НЕ утверждается: доказательства конечнобъёмные (L &lt;= 32).</t>
  </si>
  <si>
    <t xml:space="preserve">The continuum gap Delta_cont is NOT claimed: the evidence is finite-volume only (L &lt;= 32).</t>
  </si>
  <si>
    <t xml:space="preserve">any text claiming Delta_cont as established</t>
  </si>
  <si>
    <t xml:space="preserve">C4-NEG</t>
  </si>
  <si>
    <t xml:space="preserve">О хвосте отклика при E &gt; 2.5 утверждается только верхняя граница амплитуды; форма хвоста не устанавливается.</t>
  </si>
  <si>
    <t xml:space="preserve">Only an upper bound on the tail amplitude is claimed for E &gt; 2.5; the tail shape is not established.</t>
  </si>
  <si>
    <t xml:space="preserve">resolved tail shape claim</t>
  </si>
  <si>
    <t xml:space="preserve">C9-VALLEY</t>
  </si>
  <si>
    <t xml:space="preserve">Дно долины C9: beta* = 3.3583, Delta_F,min = 0.181777 (параболическое уточнение сеточного аргминимума).</t>
  </si>
  <si>
    <t xml:space="preserve">C9 valley floor: beta* = 3.3583, Delta_F,min = 0.181777 (parabolic refinement of the grid argmin).</t>
  </si>
  <si>
    <t xml:space="preserve">refined valley deviates by &gt; 1e-9</t>
  </si>
  <si>
    <t xml:space="preserve">C9-FALS</t>
  </si>
  <si>
    <t xml:space="preserve">Наивная экстраполяция узкого окна (бета_c = 2.9910) фальсифицирована прямым зондом: измеренный зазор 6.3x порога.</t>
  </si>
  <si>
    <t xml:space="preserve">The naive narrow-window extrapolation (beta_c = 2.9910) is falsified by direct probe: the measured gap is 6.3x the threshold.</t>
  </si>
  <si>
    <t xml:space="preserve">gap at beta_c below threshold</t>
  </si>
  <si>
    <t xml:space="preserve">C9-ALL</t>
  </si>
  <si>
    <t xml:space="preserve">Фазовая карта 9x41: все 369 ячеек OPEN - зазор не замыкается нигде в окне (заявление конечного диапазона).</t>
  </si>
  <si>
    <t xml:space="preserve">The 9x41 phase map: all 369 cells OPEN - the gap does not close anywhere in the window (finite-range statement).</t>
  </si>
  <si>
    <t xml:space="preserve">one CLOSED cell</t>
  </si>
  <si>
    <t xml:space="preserve">C10-SHARES</t>
  </si>
  <si>
    <t xml:space="preserve">Каузальные доли A/B/C: 91.95% / 8.00% / 0.049%; аддитивность с смещением 1.3e-4.</t>
  </si>
  <si>
    <t xml:space="preserve">Causal shares A/B/C: 91.95% / 8.00% / 0.049%; additivity with bias 1.3e-4.</t>
  </si>
  <si>
    <t xml:space="preserve">share deviation &gt; 0.01 pct-point on rerun</t>
  </si>
  <si>
    <t xml:space="preserve">C10-B2</t>
  </si>
  <si>
    <t xml:space="preserve">Чисто тормозная оценка B2 обнуляется точно на симметричном контроле (четная секция annihilируется тождественно).</t>
  </si>
  <si>
    <t xml:space="preserve">The pure-braking estimator B2 vanishes exactly on the symmetric control (the even sector is annihilated identically).</t>
  </si>
  <si>
    <t xml:space="preserve">|B2| &gt; 1e-12 on control</t>
  </si>
  <si>
    <t xml:space="preserve">C10-NEG</t>
  </si>
  <si>
    <t xml:space="preserve">Вне окна модель C10 НЕ валидна: остатки растут как (t-t1)^4.071 - никакие внеоконные утверждения не делаются.</t>
  </si>
  <si>
    <t xml:space="preserve">Out-of-window the C10 model is NOT valid: residuals grow as (t-t1)^4.071 - no out-of-window claims are made.</t>
  </si>
  <si>
    <t xml:space="preserve">power &lt; 3.5 or &gt; 4.7</t>
  </si>
  <si>
    <t xml:space="preserve">C12-GRID</t>
  </si>
  <si>
    <t xml:space="preserve">Фазовая карта C12 по eta: OPEN для всех eta &lt; 0.0908885; граница фазы проходит точно через eta_crit (худший профиль step даёт потерю 2*eta).</t>
  </si>
  <si>
    <t xml:space="preserve">The C12 eta phase map: OPEN for all eta &lt; 0.0908885; the phase boundary passes exactly through eta_crit (the worst step profile loses exactly 2*eta).</t>
  </si>
  <si>
    <t xml:space="preserve">boundary off eta_crit by &gt; 1e-6</t>
  </si>
  <si>
    <t xml:space="preserve">C12-FILL</t>
  </si>
  <si>
    <t xml:space="preserve">Позитивный контроль каскада: при eta = 0.5 (&gt; eta_crit) насыщение ям происходит; при eta_B - ноль за 1e6 шагов.</t>
  </si>
  <si>
    <t xml:space="preserve">Positive cascade control: at eta = 0.5 (&gt; eta_crit) wells saturate; at eta_B - zero within 1e6 steps.</t>
  </si>
  <si>
    <t xml:space="preserve">saturation at eta_B or no saturation at eta = 0.5</t>
  </si>
  <si>
    <t xml:space="preserve">C12-EXP</t>
  </si>
  <si>
    <t xml:space="preserve">comparison</t>
  </si>
  <si>
    <t xml:space="preserve">Сравнение с экспериментом: поиск свободных кварков/наггетов даёт n &lt; ~1e-27 на нуклон; предсказание модели при eta_B - ноль насыщенных накоплений (совместимо).</t>
  </si>
  <si>
    <t xml:space="preserve">Comparison with experiment: free-quark/nugget searches give n &lt; ~1e-27 per nucleon; the model prediction at eta_B is zero saturated accumulations (compatible).</t>
  </si>
  <si>
    <t xml:space="preserve">nugget detection above bound</t>
  </si>
  <si>
    <t xml:space="preserve">HYPO-CONT</t>
  </si>
  <si>
    <t xml:space="preserve">hypothesis</t>
  </si>
  <si>
    <t xml:space="preserve">Гипотеза (НЕ утверждается): континуальный зазор Delta_cont существует и совпадает с конечнобъёмным пределом.</t>
  </si>
  <si>
    <t xml:space="preserve">Hypothesis (NOT claimed): the continuum gap Delta_cont exists and equals the finite-volume limit.</t>
  </si>
  <si>
    <t xml:space="preserve">L-extrapolation beyond L = 32</t>
  </si>
  <si>
    <t xml:space="preserve">AUDIT</t>
  </si>
  <si>
    <t xml:space="preserve">Аудит IVP-12: 12 независимых верификационных проходов, 12/12 PASS (включая SymPy-символику T11/T13/T14).</t>
  </si>
  <si>
    <t xml:space="preserve">IVP-12 audit: 12 independent verification passes, 12/12 PASS (including SymPy symbolic checks for T11/T13/T14).</t>
  </si>
  <si>
    <t xml:space="preserve">any IVP FAIL</t>
  </si>
  <si>
    <t xml:space="preserve">DETERM</t>
  </si>
  <si>
    <t xml:space="preserve">Недетерминизм не обнаружен: rebuild_data воспроизводит все таблицы побайтно.</t>
  </si>
  <si>
    <t xml:space="preserve">No nondeterminism found: rebuild_data reproduces all tables byte-identically.</t>
  </si>
  <si>
    <t xml:space="preserve">any byte drift on rebuild</t>
  </si>
  <si>
    <t xml:space="preserve">Статусы: exact / measured-law / honest-negative / hypothesis / comparison.</t>
  </si>
  <si>
    <t xml:space="preserve">Независимая верификация — 12 проходов</t>
  </si>
  <si>
    <t xml:space="preserve">Проход</t>
  </si>
  <si>
    <t xml:space="preserve">PASS</t>
  </si>
  <si>
    <t xml:space="preserve">Ключевая величина</t>
  </si>
  <si>
    <t xml:space="preserve">IVP-01</t>
  </si>
  <si>
    <t xml:space="preserve">{"max_abs_dev": 0.0}</t>
  </si>
  <si>
    <t xml:space="preserve">IVP-02</t>
  </si>
  <si>
    <t xml:space="preserve">{"deriv": -0.2500000000071889, "dev": 7.188916129052814e-12, "sigma": 0.25}</t>
  </si>
  <si>
    <t xml:space="preserve">IVP-03</t>
  </si>
  <si>
    <t xml:space="preserve">{"c1_dev": "1.2735e-16", "c2_dev": "4.6112e-17"}</t>
  </si>
  <si>
    <t xml:space="preserve">IVP-04</t>
  </si>
  <si>
    <t xml:space="preserve">{"amp": 0.00025791308458160666, "upper": 0.000348182664185169}</t>
  </si>
  <si>
    <t xml:space="preserve">IVP-05</t>
  </si>
  <si>
    <t xml:space="preserve">{"p_esc": 0.2355, "z": -1.8382746661287108}</t>
  </si>
  <si>
    <t xml:space="preserve">IVP-06</t>
  </si>
  <si>
    <t xml:space="preserve">{"cos_plus_half": ["0", "0", "0"], "max_dev": "0"}</t>
  </si>
  <si>
    <t xml:space="preserve">IVP-07</t>
  </si>
  <si>
    <t xml:space="preserve">{"closed_fp64": "13.856406460551018", "closed_mp": "13.856406460551018348219570732", "dev_fp64": "3.4822e-16",</t>
  </si>
  <si>
    <t xml:space="preserve">IVP-08</t>
  </si>
  <si>
    <t xml:space="preserve">{"boot_bias": 0.0046436419531249995, "boot_se": 0.012386208175039784, "jk_bias": 0.0015550694444443902}</t>
  </si>
  <si>
    <t xml:space="preserve">IVP-09</t>
  </si>
  <si>
    <t xml:space="preserve">{"dev": 6.29688168274356e-09, "golden": 3.35830000629689, "parabolic": 3.3583000000000083}</t>
  </si>
  <si>
    <t xml:space="preserve">IVP-10</t>
  </si>
  <si>
    <t xml:space="preserve">{"max_dev": 1.1102230246251565e-16, "nnls": [0.91962873, 0.08001120000000002, 0.0004900686000000079], "normal_</t>
  </si>
  <si>
    <t xml:space="preserve">IVP-11</t>
  </si>
  <si>
    <t xml:space="preserve">{"charpoly": "lam**2*(4*pi**2*lam**2 + 9)**2/(16*pi**4)", "equilibrium_residual": "0", "poly_ok": true, "rotat</t>
  </si>
  <si>
    <t xml:space="preserve">IVP-12</t>
  </si>
  <si>
    <t xml:space="preserve">{"eta_crit_50d": "0.0908885", "eta_crit_symbolic": "B0/2", "margin_50d": "148997540.98360655737704918032786885</t>
  </si>
  <si>
    <t xml:space="preserve">12/12 PASS.</t>
  </si>
  <si>
    <t xml:space="preserve">mpmath 100 знаков, джекнайф, seed-батарея</t>
  </si>
  <si>
    <t xml:space="preserve">Проверка</t>
  </si>
  <si>
    <t xml:space="preserve">S_wkb_100d</t>
  </si>
  <si>
    <t xml:space="preserve">13.85640646055101834821957073204697893554244203048304502444645583561546413527040029664916949405798861</t>
  </si>
  <si>
    <t xml:space="preserve">T_wkb_100d</t>
  </si>
  <si>
    <t xml:space="preserve">0.0000000000009214637827196511015692439486490436636249258438974700748115950857648740789035233128463127207316744188</t>
  </si>
  <si>
    <t xml:space="preserve">V_star_max_location</t>
  </si>
  <si>
    <t xml:space="preserve">s = 1 (exact, dV/ds = 2 V* e^{2-2s} s (1-s))</t>
  </si>
  <si>
    <t xml:space="preserve">c1_spin_100d</t>
  </si>
  <si>
    <t xml:space="preserve">1.233700550136169827354311374984518891914212425905098828301668672027505602802400655375221675464819029</t>
  </si>
  <si>
    <t xml:space="preserve">c2_spin_100d</t>
  </si>
  <si>
    <t xml:space="preserve">0.4346870522518202461118484517662437592049725946421519752180290393270383410988835575082151995362288621</t>
  </si>
  <si>
    <t xml:space="preserve">c9_jackknife_max_shift</t>
  </si>
  <si>
    <t xml:space="preserve">2.3092638912203256e-14</t>
  </si>
  <si>
    <t xml:space="preserve">c9_jackknife_pass</t>
  </si>
  <si>
    <t xml:space="preserve">True</t>
  </si>
  <si>
    <t xml:space="preserve">eta_crit_100d</t>
  </si>
  <si>
    <t xml:space="preserve">margin_100d</t>
  </si>
  <si>
    <t xml:space="preserve">148997540.983606557377049180327868852459016393442622950819672131147540983606557377049180327868852459</t>
  </si>
  <si>
    <t xml:space="preserve">omega_100d</t>
  </si>
  <si>
    <t xml:space="preserve">0.4774648292756860073066512901175430861033789372213693462430020321766903929026796052703414082987592579</t>
  </si>
  <si>
    <t xml:space="preserve">c10_even_identity_zero</t>
  </si>
  <si>
    <t xml:space="preserve">c10_odd_identity_zero</t>
  </si>
  <si>
    <t xml:space="preserve">c11_critical_points</t>
  </si>
  <si>
    <t xml:space="preserve">['0', '1']</t>
  </si>
  <si>
    <t xml:space="preserve">c11_max_ok</t>
  </si>
  <si>
    <t xml:space="preserve">c5_z_max_abs</t>
  </si>
  <si>
    <t xml:space="preserve">1.959475896739303</t>
  </si>
  <si>
    <t xml:space="preserve">c5_z_ok</t>
  </si>
  <si>
    <t xml:space="preserve">margin_ok</t>
  </si>
  <si>
    <t xml:space="preserve">omega_ok</t>
  </si>
  <si>
    <t xml:space="preserve">100-значные текстовые pin-ы ω, π²/8, π⁵/704, η_crit, запаса.</t>
  </si>
  <si>
    <t xml:space="preserve">Негативы и гипотезы (не скрываются)</t>
  </si>
  <si>
    <t xml:space="preserve">Гипотеза HYPO-CONT никогда не цитируется как результат.</t>
  </si>
  <si>
    <t xml:space="preserve">Программа 15 шагов — трассировка</t>
  </si>
  <si>
    <t xml:space="preserve">Шаг</t>
  </si>
  <si>
    <t xml:space="preserve">Содержание</t>
  </si>
  <si>
    <t xml:space="preserve">Кампания</t>
  </si>
  <si>
    <t xml:space="preserve">Статус покрытия</t>
  </si>
  <si>
    <t xml:space="preserve">Модельный класс и единицы</t>
  </si>
  <si>
    <t xml:space="preserve">N1–N8</t>
  </si>
  <si>
    <t xml:space="preserve">Конечнобъёмный зазор</t>
  </si>
  <si>
    <t xml:space="preserve">C1</t>
  </si>
  <si>
    <t xml:space="preserve">Натяжение струны</t>
  </si>
  <si>
    <t xml:space="preserve">C2</t>
  </si>
  <si>
    <t xml:space="preserve">Термальный мост</t>
  </si>
  <si>
    <t xml:space="preserve">C3</t>
  </si>
  <si>
    <t xml:space="preserve">Границы детектора</t>
  </si>
  <si>
    <t xml:space="preserve">C4</t>
  </si>
  <si>
    <t xml:space="preserve">Свободное трёхтелие</t>
  </si>
  <si>
    <t xml:space="preserve">C5</t>
  </si>
  <si>
    <t xml:space="preserve">Y-струнный спектр</t>
  </si>
  <si>
    <t xml:space="preserve">C6</t>
  </si>
  <si>
    <t xml:space="preserve">Туннельное окно</t>
  </si>
  <si>
    <t xml:space="preserve">C7</t>
  </si>
  <si>
    <t xml:space="preserve">Статустойчивость</t>
  </si>
  <si>
    <t xml:space="preserve">C8</t>
  </si>
  <si>
    <t xml:space="preserve">Фазовая карта</t>
  </si>
  <si>
    <t xml:space="preserve">C9</t>
  </si>
  <si>
    <t xml:space="preserve">Конкурирующие модели</t>
  </si>
  <si>
    <t xml:space="preserve">C10</t>
  </si>
  <si>
    <t xml:space="preserve">Классический якорь</t>
  </si>
  <si>
    <t xml:space="preserve">C11</t>
  </si>
  <si>
    <t xml:space="preserve">Реестр утверждений</t>
  </si>
  <si>
    <t xml:space="preserve">Engine</t>
  </si>
  <si>
    <t xml:space="preserve">Асимметричный замок</t>
  </si>
  <si>
    <t xml:space="preserve">C12</t>
  </si>
  <si>
    <t xml:space="preserve">Релиз и аудит</t>
  </si>
  <si>
    <t xml:space="preserve">tools</t>
  </si>
  <si>
    <t xml:space="preserve">Документ-трассировка: docs/monographs/QHB_C9-C12_15steps_RU.pdf</t>
  </si>
  <si>
    <t xml:space="preserve">Двуязычные близнецы: 14 пар × 3 прохода</t>
  </si>
  <si>
    <t xml:space="preserve">Ключ</t>
  </si>
  <si>
    <t xml:space="preserve">s1</t>
  </si>
  <si>
    <t xml:space="preserve">00:beta_star</t>
  </si>
  <si>
    <t xml:space="preserve">01:delta_f_min</t>
  </si>
  <si>
    <t xml:space="preserve">02:delta_thresh</t>
  </si>
  <si>
    <t xml:space="preserve">03:beta_c</t>
  </si>
  <si>
    <t xml:space="preserve">04:ratio_naive</t>
  </si>
  <si>
    <t xml:space="preserve">05:p_esc</t>
  </si>
  <si>
    <t xml:space="preserve">06:omega</t>
  </si>
  <si>
    <t xml:space="preserve">07:v_star</t>
  </si>
  <si>
    <t xml:space="preserve">08:r_max</t>
  </si>
  <si>
    <t xml:space="preserve">09:shares_A</t>
  </si>
  <si>
    <t xml:space="preserve">10:wing</t>
  </si>
  <si>
    <t xml:space="preserve">11:eta_crit</t>
  </si>
  <si>
    <t xml:space="preserve">12:margin</t>
  </si>
  <si>
    <t xml:space="preserve">13:eta_B</t>
  </si>
  <si>
    <t xml:space="preserve">s2</t>
  </si>
  <si>
    <t xml:space="preserve">h00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</si>
  <si>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</si>
  <si>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</si>
  <si>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</si>
  <si>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</si>
  <si>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</si>
  <si>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</si>
  <si>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s3</t>
  </si>
  <si>
    <t xml:space="preserve">c00:T1</t>
  </si>
  <si>
    <t xml:space="preserve">c01:T2</t>
  </si>
  <si>
    <t xml:space="preserve">c02:T3</t>
  </si>
  <si>
    <t xml:space="preserve">c03:T4</t>
  </si>
  <si>
    <t xml:space="preserve">c04:T5</t>
  </si>
  <si>
    <t xml:space="preserve">c05:T6</t>
  </si>
  <si>
    <t xml:space="preserve">c06:T7</t>
  </si>
  <si>
    <t xml:space="preserve">c07:T8</t>
  </si>
  <si>
    <t xml:space="preserve">c08:T9</t>
  </si>
  <si>
    <t xml:space="preserve">c09:T10</t>
  </si>
  <si>
    <t xml:space="preserve">c10:T11</t>
  </si>
  <si>
    <t xml:space="preserve">c11:T12</t>
  </si>
  <si>
    <t xml:space="preserve">c12:T13</t>
  </si>
  <si>
    <t xml:space="preserve">c13:T14</t>
  </si>
  <si>
    <t xml:space="preserve">c14:T15</t>
  </si>
  <si>
    <t xml:space="preserve">c15:C1-RES</t>
  </si>
  <si>
    <t xml:space="preserve">c16:C1-NEG</t>
  </si>
  <si>
    <t xml:space="preserve">c17:C4-NEG</t>
  </si>
  <si>
    <t xml:space="preserve">c18:C9-VALLEY</t>
  </si>
  <si>
    <t xml:space="preserve">c19:C9-FALS</t>
  </si>
  <si>
    <t xml:space="preserve">c20:C9-ALL</t>
  </si>
  <si>
    <t xml:space="preserve">c21:C10-SHARES</t>
  </si>
  <si>
    <t xml:space="preserve">c22:C10-B2</t>
  </si>
  <si>
    <t xml:space="preserve">c23:C10-NEG</t>
  </si>
  <si>
    <t xml:space="preserve">c24:C12-GRID</t>
  </si>
  <si>
    <t xml:space="preserve">c25:C12-FILL</t>
  </si>
  <si>
    <t xml:space="preserve">c26:C12-EXP</t>
  </si>
  <si>
    <t xml:space="preserve">c27:HYPO-CONT</t>
  </si>
  <si>
    <t xml:space="preserve">c28:AUDIT</t>
  </si>
  <si>
    <t xml:space="preserve">c29:DETERM</t>
  </si>
  <si>
    <t xml:space="preserve">51/51 PASS.</t>
  </si>
  <si>
    <t xml:space="preserve">SHA-256 таблиц данных (детерминизм)</t>
  </si>
  <si>
    <t xml:space="preserve">Таблица</t>
  </si>
  <si>
    <t xml:space="preserve">SHA-256</t>
  </si>
  <si>
    <t xml:space="preserve">audit_ivp12.json</t>
  </si>
  <si>
    <t xml:space="preserve">0c9fbad936e931e07c3c9e945345a95e389eb90c4e62088c6bc46974a64dd8fb</t>
  </si>
  <si>
    <t xml:space="preserve">c10_braking.json</t>
  </si>
  <si>
    <t xml:space="preserve">fffeda2d83c31f9b686f90dcfcc872aabe349f9739560e5ab0dc2cf581847056</t>
  </si>
  <si>
    <t xml:space="preserve">c10_out_of_window.json</t>
  </si>
  <si>
    <t xml:space="preserve">97a92d60555bd44aeacfa3f14185dcc8815c39649aa3dc92c7dbea92b0ad45fd</t>
  </si>
  <si>
    <t xml:space="preserve">c10_shares.json</t>
  </si>
  <si>
    <t xml:space="preserve">ee53753f65ca6ae1c3c8d5700dd3708187368484761cf17c3cf65259fb55386b</t>
  </si>
  <si>
    <t xml:space="preserve">c11_aref_run.json</t>
  </si>
  <si>
    <t xml:space="preserve">819136526fe1fdebe1328bafa393aae6ce30a5c22afe3928bf7f433a2ebc4012</t>
  </si>
  <si>
    <t xml:space="preserve">c11_barrier_scan.json</t>
  </si>
  <si>
    <t xml:space="preserve">9651f493697c8e43649aca94a726da74e4e37f20b36b1decd6d6fa85b518d562</t>
  </si>
  <si>
    <t xml:space="preserve">c11_escape_scan.json</t>
  </si>
  <si>
    <t xml:space="preserve">e5bbbd28270540eeaeb215ca3ca585f07855ba60a11ab2b973eea7487fedba20</t>
  </si>
  <si>
    <t xml:space="preserve">c11_rotation.json</t>
  </si>
  <si>
    <t xml:space="preserve">1e7c92db8c32655a34001060e0fc097964cd18a1c4275defe68a50092bf888fe</t>
  </si>
  <si>
    <t xml:space="preserve">c11_spectrum.json</t>
  </si>
  <si>
    <t xml:space="preserve">76e15cec7adfd0917fbd95a5d371d9a03216ad66ea931a33e44fd332951264b2</t>
  </si>
  <si>
    <t xml:space="preserve">c12_fill_dynamics.json</t>
  </si>
  <si>
    <t xml:space="preserve">8f484b8d8a21a54d4d1c450d35280b544ee1bf5eefdd3bfb196bebd0f651ce54</t>
  </si>
  <si>
    <t xml:space="preserve">c12_margin.json</t>
  </si>
  <si>
    <t xml:space="preserve">de6c1e982c72d3fb8de191482dc4b0191807518da4d29287b398569d261ac0a0</t>
  </si>
  <si>
    <t xml:space="preserve">c12_nugget_bound.json</t>
  </si>
  <si>
    <t xml:space="preserve">3c0ef3c34e04f009d7bd90d6cb1c0c7925d69f8e33cc6ec9dfe97035df3754ef</t>
  </si>
  <si>
    <t xml:space="preserve">c12_phase_grid.json</t>
  </si>
  <si>
    <t xml:space="preserve">c8b500c6d44c584e375d1cfe62ba87e76459cad956dc6e9ce461f9bd47e1066b</t>
  </si>
  <si>
    <t xml:space="preserve">c12_profiles.json</t>
  </si>
  <si>
    <t xml:space="preserve">c0ca4fcf492d64e0715b3fa420871c91d7b1e975c956614966686cf6542605b6</t>
  </si>
  <si>
    <t xml:space="preserve">c12_summary.json</t>
  </si>
  <si>
    <t xml:space="preserve">427d7bdd6cd269cea36506309072438a31f1a64fe1b71afe841acd1566f5f567</t>
  </si>
  <si>
    <t xml:space="preserve">c1_gap_grid.json</t>
  </si>
  <si>
    <t xml:space="preserve">865077ab271628caa8a47be82939c6550b87da3a8b9b8beac642202bd04544ae</t>
  </si>
  <si>
    <t xml:space="preserve">c2_sigma_scan.json</t>
  </si>
  <si>
    <t xml:space="preserve">04e7ba281b4567b448785e8ec8458cc00c4702e18130c97f12b045f9e881ef49</t>
  </si>
  <si>
    <t xml:space="preserve">c3_bridge_scan.json</t>
  </si>
  <si>
    <t xml:space="preserve">762a756e9236fead938c1f0b1a0713634e746dd869d709bbf6400d2c474ca7f7</t>
  </si>
  <si>
    <t xml:space="preserve">c3_spin_constants.json</t>
  </si>
  <si>
    <t xml:space="preserve">4d43be2cca299b9c4c78e5c0ca01c574d66052abc45cc51fe53c10e28357468d</t>
  </si>
  <si>
    <t xml:space="preserve">c4_tail_audit.json</t>
  </si>
  <si>
    <t xml:space="preserve">5b105a79547b94fc41a441cee47de178b8a02ce2e8512e0e7188f54aff06f2e6</t>
  </si>
  <si>
    <t xml:space="preserve">c5_free_three_body.json</t>
  </si>
  <si>
    <t xml:space="preserve">7d31531da26fac88e96e89085823f54e52320d39e1fa09b37cb7c06c72796ae8</t>
  </si>
  <si>
    <t xml:space="preserve">c6_y_spectrum.json</t>
  </si>
  <si>
    <t xml:space="preserve">7f0e8426f296bfcb93d7d9250b7fcab6d9d0d6d210d5d2aad5e4989c8feb902a</t>
  </si>
  <si>
    <t xml:space="preserve">c7_wkb_window.json</t>
  </si>
  <si>
    <t xml:space="preserve">a5196c4a106f56eab51045de444cbfa231f3dced36683d58a9f56f937d20832c</t>
  </si>
  <si>
    <t xml:space="preserve">c8_bootstrap.json</t>
  </si>
  <si>
    <t xml:space="preserve">650b3d7b822e33fa742504000c322e9c6cb1b6ac595c5ddc363a6aef76b6b736</t>
  </si>
  <si>
    <t xml:space="preserve">c9_naive_falsifier.json</t>
  </si>
  <si>
    <t xml:space="preserve">8945a62e534481fb96edb96b3906cdc806b17f60927881f818ee67dbd037be2d</t>
  </si>
  <si>
    <t xml:space="preserve">c9_phase_grid.json</t>
  </si>
  <si>
    <t xml:space="preserve">72d79866a7ba37fcd8df81a4dce6aa9a5baa0f23f0ffa9f2346a306150715c9b</t>
  </si>
  <si>
    <t xml:space="preserve">c9_valley.json</t>
  </si>
  <si>
    <t xml:space="preserve">2475ba25745625a343acc17439ac0be47d182965566d461f6a7d3cbff1a5281c</t>
  </si>
  <si>
    <t xml:space="preserve">claims.json</t>
  </si>
  <si>
    <t xml:space="preserve">81c3ea05829b8441f60ad6f28b7fa334701edb77431ff9ae6acfc8f7631cff66</t>
  </si>
  <si>
    <t xml:space="preserve">deep_checks.json</t>
  </si>
  <si>
    <t xml:space="preserve">cf0b5f44ea7f45df8492554b879e471ce9897e8a049539714d24bc30e25fbb41</t>
  </si>
  <si>
    <t xml:space="preserve">deep_checks_extra.json</t>
  </si>
  <si>
    <t xml:space="preserve">a23e199b31e81b1d840f2aee4cbd6d1b5db4d825a714783ff9a7990eec263082</t>
  </si>
  <si>
    <t xml:space="preserve">twins.json</t>
  </si>
  <si>
    <t xml:space="preserve">c034a6ec638367d50f55235bd5be1b5fc291fc94b27058e22f1830a8fefe328c</t>
  </si>
  <si>
    <t xml:space="preserve">Пересборка: 31 таблиц, дрейф 0.</t>
  </si>
  <si>
    <t xml:space="preserve">Пятиполевый бюджет неопределённости</t>
  </si>
  <si>
    <t xml:space="preserve">Поле</t>
  </si>
  <si>
    <t xml:space="preserve">statistical</t>
  </si>
  <si>
    <t xml:space="preserve">биномиальная ошибка / seed-разброс</t>
  </si>
  <si>
    <t xml:space="preserve">systematic</t>
  </si>
  <si>
    <t xml:space="preserve">разрешение сетки и окна</t>
  </si>
  <si>
    <t xml:space="preserve">model</t>
  </si>
  <si>
    <t xml:space="preserve">принадлежность редуцированному классу</t>
  </si>
  <si>
    <t xml:space="preserve">numerical</t>
  </si>
  <si>
    <t xml:space="preserve">fp64 + mpmath-пин на 100 знаков</t>
  </si>
  <si>
    <t xml:space="preserve">external</t>
  </si>
  <si>
    <t xml:space="preserve">внешние значения (Planck 2018) — только comparison</t>
  </si>
  <si>
    <t xml:space="preserve">Каждое утверждение реестра несёт полный бюджет в claims.json.</t>
  </si>
  <si>
    <t xml:space="preserve">Индекс фигур (116 PNG)</t>
  </si>
  <si>
    <t xml:space="preserve">Файл</t>
  </si>
  <si>
    <t xml:space="preserve">fig_asymmetry_en_dark.png</t>
  </si>
  <si>
    <t xml:space="preserve">fig_asymmetry_en_dark_hires.png</t>
  </si>
  <si>
    <t xml:space="preserve">fig_asymmetry_en_light.png</t>
  </si>
  <si>
    <t xml:space="preserve">fig_asymmetry_en_light_hires.png</t>
  </si>
  <si>
    <t xml:space="preserve">fig_asymmetry_ru_dark.png</t>
  </si>
  <si>
    <t xml:space="preserve">fig_asymmetry_ru_dark_hires.png</t>
  </si>
  <si>
    <t xml:space="preserve">fig_asymmetry_ru_light.png</t>
  </si>
  <si>
    <t xml:space="preserve">fig_asymmetry_ru_light_hires.png</t>
  </si>
  <si>
    <t xml:space="preserve">fig_barrier_en_dark.png</t>
  </si>
  <si>
    <t xml:space="preserve">fig_barrier_en_dark_hires.png</t>
  </si>
  <si>
    <t xml:space="preserve">fig_barrier_en_light.png</t>
  </si>
  <si>
    <t xml:space="preserve">fig_barrier_en_light_hires.png</t>
  </si>
  <si>
    <t xml:space="preserve">fig_barrier_ru_dark.png</t>
  </si>
  <si>
    <t xml:space="preserve">fig_barrier_ru_dark_hires.png</t>
  </si>
  <si>
    <t xml:space="preserve">fig_barrier_ru_light.png</t>
  </si>
  <si>
    <t xml:space="preserve">fig_barrier_ru_light_hires.png</t>
  </si>
  <si>
    <t xml:space="preserve">fig_boot2_en_dark.png</t>
  </si>
  <si>
    <t xml:space="preserve">fig_boot2_en_light.png</t>
  </si>
  <si>
    <t xml:space="preserve">fig_boot2_ru_dark.png</t>
  </si>
  <si>
    <t xml:space="preserve">fig_boot2_ru_light.png</t>
  </si>
  <si>
    <t xml:space="preserve">fig_bootstrap_en_dark.png</t>
  </si>
  <si>
    <t xml:space="preserve">fig_bootstrap_en_light.png</t>
  </si>
  <si>
    <t xml:space="preserve">fig_bootstrap_ru_dark.png</t>
  </si>
  <si>
    <t xml:space="preserve">fig_bootstrap_ru_light.png</t>
  </si>
  <si>
    <t xml:space="preserve">fig_bridge_en_dark.png</t>
  </si>
  <si>
    <t xml:space="preserve">fig_bridge_en_dark_hires.png</t>
  </si>
  <si>
    <t xml:space="preserve">fig_bridge_en_light.png</t>
  </si>
  <si>
    <t xml:space="preserve">fig_bridge_en_light_hires.png</t>
  </si>
  <si>
    <t xml:space="preserve">fig_bridge_ru_dark.png</t>
  </si>
  <si>
    <t xml:space="preserve">fig_bridge_ru_dark_hires.png</t>
  </si>
  <si>
    <t xml:space="preserve">fig_bridge_ru_light.png</t>
  </si>
  <si>
    <t xml:space="preserve">fig_bridge_ru_light_hires.png</t>
  </si>
  <si>
    <t xml:space="preserve">fig_cover_en_dark.png</t>
  </si>
  <si>
    <t xml:space="preserve">fig_cover_en_dark_hires.png</t>
  </si>
  <si>
    <t xml:space="preserve">fig_cover_en_light.png</t>
  </si>
  <si>
    <t xml:space="preserve">fig_cover_en_light_hires.png</t>
  </si>
  <si>
    <t xml:space="preserve">fig_cover_ru_dark.png</t>
  </si>
  <si>
    <t xml:space="preserve">fig_cover_ru_dark_hires.png</t>
  </si>
  <si>
    <t xml:space="preserve">fig_cover_ru_light.png</t>
  </si>
  <si>
    <t xml:space="preserve">fig_cover_ru_light_hires.png</t>
  </si>
  <si>
    <t xml:space="preserve">fig_escape_en_dark.png</t>
  </si>
  <si>
    <t xml:space="preserve">fig_escape_en_dark_hires.png</t>
  </si>
  <si>
    <t xml:space="preserve">fig_escape_en_light.png</t>
  </si>
  <si>
    <t xml:space="preserve">fig_escape_en_light_hires.png</t>
  </si>
  <si>
    <t xml:space="preserve">fig_escape_ru_dark.png</t>
  </si>
  <si>
    <t xml:space="preserve">fig_escape_ru_dark_hires.png</t>
  </si>
  <si>
    <t xml:space="preserve">fig_escape_ru_light.png</t>
  </si>
  <si>
    <t xml:space="preserve">fig_escape_ru_light_hires.png</t>
  </si>
  <si>
    <t xml:space="preserve">fig_gap_en_dark.png</t>
  </si>
  <si>
    <t xml:space="preserve">fig_gap_en_dark_hires.png</t>
  </si>
  <si>
    <t xml:space="preserve">fig_gap_en_light.png</t>
  </si>
  <si>
    <t xml:space="preserve">fig_gap_en_light_hires.png</t>
  </si>
  <si>
    <t xml:space="preserve">fig_gap_ru_dark.png</t>
  </si>
  <si>
    <t xml:space="preserve">fig_gap_ru_dark_hires.png</t>
  </si>
  <si>
    <t xml:space="preserve">fig_gap_ru_light.png</t>
  </si>
  <si>
    <t xml:space="preserve">fig_gap_ru_light_hires.png</t>
  </si>
  <si>
    <t xml:space="preserve">fig_margin_en_dark.png</t>
  </si>
  <si>
    <t xml:space="preserve">fig_margin_en_light.png</t>
  </si>
  <si>
    <t xml:space="preserve">fig_margin_ru_dark.png</t>
  </si>
  <si>
    <t xml:space="preserve">fig_margin_ru_light.png</t>
  </si>
  <si>
    <t xml:space="preserve">fig_phase_map_en_dark.png</t>
  </si>
  <si>
    <t xml:space="preserve">fig_phase_map_en_dark_hires.png</t>
  </si>
  <si>
    <t xml:space="preserve">fig_phase_map_en_light.png</t>
  </si>
  <si>
    <t xml:space="preserve">fig_phase_map_en_light_hires.png</t>
  </si>
  <si>
    <t xml:space="preserve">fig_phase_map_ru_dark.png</t>
  </si>
  <si>
    <t xml:space="preserve">fig_phase_map_ru_dark_hires.png</t>
  </si>
  <si>
    <t xml:space="preserve">fig_phase_map_ru_light.png</t>
  </si>
  <si>
    <t xml:space="preserve">fig_phase_map_ru_light_hires.png</t>
  </si>
  <si>
    <t xml:space="preserve">fig_response_en_dark.png</t>
  </si>
  <si>
    <t xml:space="preserve">fig_response_en_dark_hires.png</t>
  </si>
  <si>
    <t xml:space="preserve">fig_response_en_light.png</t>
  </si>
  <si>
    <t xml:space="preserve">fig_response_en_light_hires.png</t>
  </si>
  <si>
    <t xml:space="preserve">fig_response_ru_dark.png</t>
  </si>
  <si>
    <t xml:space="preserve">fig_response_ru_dark_hires.png</t>
  </si>
  <si>
    <t xml:space="preserve">fig_response_ru_light.png</t>
  </si>
  <si>
    <t xml:space="preserve">fig_response_ru_light_hires.png</t>
  </si>
  <si>
    <t xml:space="preserve">fig_shares_en_dark.png</t>
  </si>
  <si>
    <t xml:space="preserve">fig_shares_en_dark_hires.png</t>
  </si>
  <si>
    <t xml:space="preserve">fig_shares_en_light.png</t>
  </si>
  <si>
    <t xml:space="preserve">fig_shares_en_light_hires.png</t>
  </si>
  <si>
    <t xml:space="preserve">fig_shares_ru_dark.png</t>
  </si>
  <si>
    <t xml:space="preserve">fig_shares_ru_dark_hires.png</t>
  </si>
  <si>
    <t xml:space="preserve">fig_shares_ru_light.png</t>
  </si>
  <si>
    <t xml:space="preserve">fig_shares_ru_light_hires.png</t>
  </si>
  <si>
    <t xml:space="preserve">fig_sigma_en_dark.png</t>
  </si>
  <si>
    <t xml:space="preserve">fig_sigma_en_dark_hires.png</t>
  </si>
  <si>
    <t xml:space="preserve">fig_sigma_en_light.png</t>
  </si>
  <si>
    <t xml:space="preserve">fig_sigma_en_light_hires.png</t>
  </si>
  <si>
    <t xml:space="preserve">fig_sigma_ru_dark.png</t>
  </si>
  <si>
    <t xml:space="preserve">fig_sigma_ru_dark_hires.png</t>
  </si>
  <si>
    <t xml:space="preserve">fig_sigma_ru_light.png</t>
  </si>
  <si>
    <t xml:space="preserve">fig_sigma_ru_light_hires.png</t>
  </si>
  <si>
    <t xml:space="preserve">fig_vortex_spec_en_dark.png</t>
  </si>
  <si>
    <t xml:space="preserve">fig_vortex_spec_en_dark_hires.png</t>
  </si>
  <si>
    <t xml:space="preserve">fig_vortex_spec_en_light.png</t>
  </si>
  <si>
    <t xml:space="preserve">fig_vortex_spec_en_light_hires.png</t>
  </si>
  <si>
    <t xml:space="preserve">fig_vortex_spec_ru_dark.png</t>
  </si>
  <si>
    <t xml:space="preserve">fig_vortex_spec_ru_dark_hires.png</t>
  </si>
  <si>
    <t xml:space="preserve">fig_vortex_spec_ru_light.png</t>
  </si>
  <si>
    <t xml:space="preserve">fig_vortex_spec_ru_light_hires.png</t>
  </si>
  <si>
    <t xml:space="preserve">fig_wkb_en_dark.png</t>
  </si>
  <si>
    <t xml:space="preserve">fig_wkb_en_dark_hires.png</t>
  </si>
  <si>
    <t xml:space="preserve">fig_wkb_en_light.png</t>
  </si>
  <si>
    <t xml:space="preserve">fig_wkb_en_light_hires.png</t>
  </si>
  <si>
    <t xml:space="preserve">fig_wkb_ru_dark.png</t>
  </si>
  <si>
    <t xml:space="preserve">fig_wkb_ru_dark_hires.png</t>
  </si>
  <si>
    <t xml:space="preserve">fig_wkb_ru_light.png</t>
  </si>
  <si>
    <t xml:space="preserve">fig_wkb_ru_light_hires.png</t>
  </si>
  <si>
    <t xml:space="preserve">fig_ystring_en_dark.png</t>
  </si>
  <si>
    <t xml:space="preserve">fig_ystring_en_dark_hires.png</t>
  </si>
  <si>
    <t xml:space="preserve">fig_ystring_en_light.png</t>
  </si>
  <si>
    <t xml:space="preserve">fig_ystring_en_light_hires.png</t>
  </si>
  <si>
    <t xml:space="preserve">fig_ystring_ru_dark.png</t>
  </si>
  <si>
    <t xml:space="preserve">fig_ystring_ru_dark_hires.png</t>
  </si>
  <si>
    <t xml:space="preserve">fig_ystring_ru_light.png</t>
  </si>
  <si>
    <t xml:space="preserve">fig_ystring_ru_light_hires.png</t>
  </si>
  <si>
    <t xml:space="preserve">16 архетипов × RU/EN × свет/тьма + hires 600 dpi.</t>
  </si>
  <si>
    <t xml:space="preserve">Версии пакета</t>
  </si>
  <si>
    <t xml:space="preserve">Версия</t>
  </si>
  <si>
    <t xml:space="preserve">C12 асимметричный замок; T14–T15; IVP-12; глубокие проверки</t>
  </si>
  <si>
    <t xml:space="preserve">1.2.0</t>
  </si>
  <si>
    <t xml:space="preserve">C9 фазовая карта; C10 модели; C11 якорь; T11–T13</t>
  </si>
  <si>
    <t xml:space="preserve">1.1.0</t>
  </si>
  <si>
    <t xml:space="preserve">T1–T10 формализованы; честные негативы; зеркала</t>
  </si>
  <si>
    <t xml:space="preserve">1.0.0</t>
  </si>
  <si>
    <t xml:space="preserve">C1–C8; IVP-08</t>
  </si>
  <si>
    <t xml:space="preserve">Полный журнал — CHANGELOG.md.</t>
  </si>
  <si>
    <t xml:space="preserve">Указатели на артефакты</t>
  </si>
  <si>
    <t xml:space="preserve">Тип</t>
  </si>
  <si>
    <t xml:space="preserve">Путь</t>
  </si>
  <si>
    <t xml:space="preserve">tools/run_all.py</t>
  </si>
  <si>
    <t xml:space="preserve">Аудит</t>
  </si>
  <si>
    <t xml:space="preserve">audit/audit_ivp.py</t>
  </si>
  <si>
    <t xml:space="preserve">Глубокие проверки</t>
  </si>
  <si>
    <t xml:space="preserve">audit/deep_checks_extra.py</t>
  </si>
  <si>
    <t xml:space="preserve">Фигуры</t>
  </si>
  <si>
    <t xml:space="preserve">tools/make_figures.py</t>
  </si>
  <si>
    <t xml:space="preserve">Твин-контроль</t>
  </si>
  <si>
    <t xml:space="preserve">tools/twin_check.py</t>
  </si>
  <si>
    <t xml:space="preserve">tools/rebuild_data.py</t>
  </si>
  <si>
    <t xml:space="preserve">Тесты</t>
  </si>
  <si>
    <t xml:space="preserve">tests/ (154)</t>
  </si>
  <si>
    <t xml:space="preserve">Теория</t>
  </si>
  <si>
    <t xml:space="preserve">docs/theory.ru.md</t>
  </si>
  <si>
    <t xml:space="preserve">Замок</t>
  </si>
  <si>
    <t xml:space="preserve">docs/asymmetry_lock.ru.md</t>
  </si>
  <si>
    <t xml:space="preserve">Реестр</t>
  </si>
  <si>
    <t xml:space="preserve">data/claims.json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</si>
</sst>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#####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46"/>
  </cols>
  <sheetData>
    <row r="2" customFormat="false" ht="31.5" hidden="false" customHeight="true" outlineLevel="0" collapsed="false">
      <c r="B2" s="2" t="s">
        <v>0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3</v>
      </c>
      <c r="C5" s="4" t="s">
        <v>4</v>
      </c>
    </row>
    <row r="6" customFormat="false" ht="21.75" hidden="false" customHeight="true" outlineLevel="0" collapsed="false">
      <c r="B6" s="5" t="s">
        <v>5</v>
      </c>
      <c r="C6" s="5" t="s">
        <v>6</v>
      </c>
    </row>
    <row r="7" customFormat="false" ht="21.75" hidden="false" customHeight="true" outlineLevel="0" collapsed="false">
      <c r="B7" s="4" t="s">
        <v>7</v>
      </c>
      <c r="C7" s="4" t="s">
        <v>8</v>
      </c>
    </row>
    <row r="8" customFormat="false" ht="21.75" hidden="false" customHeight="true" outlineLevel="0" collapsed="false">
      <c r="B8" s="5" t="s">
        <v>9</v>
      </c>
      <c r="C8" s="5" t="s">
        <v>10</v>
      </c>
    </row>
    <row r="9" customFormat="false" ht="21.75" hidden="false" customHeight="true" outlineLevel="0" collapsed="false">
      <c r="B9" s="4" t="s">
        <v>11</v>
      </c>
      <c r="C9" s="6" t="n">
        <v>30</v>
      </c>
    </row>
    <row r="10" customFormat="false" ht="21.75" hidden="false" customHeight="true" outlineLevel="0" collapsed="false">
      <c r="B10" s="5" t="s">
        <v>12</v>
      </c>
      <c r="C10" s="7" t="n">
        <v>31</v>
      </c>
    </row>
    <row r="11" customFormat="false" ht="21.75" hidden="false" customHeight="true" outlineLevel="0" collapsed="false">
      <c r="B11" s="4" t="s">
        <v>13</v>
      </c>
      <c r="C11" s="6" t="n">
        <v>154</v>
      </c>
    </row>
    <row r="12" customFormat="false" ht="21.75" hidden="false" customHeight="true" outlineLevel="0" collapsed="false">
      <c r="B12" s="5" t="s">
        <v>14</v>
      </c>
      <c r="C12" s="5" t="s">
        <v>15</v>
      </c>
    </row>
    <row r="13" customFormat="false" ht="21.75" hidden="false" customHeight="true" outlineLevel="0" collapsed="false">
      <c r="B13" s="4" t="s">
        <v>16</v>
      </c>
      <c r="C13" s="4" t="s">
        <v>17</v>
      </c>
    </row>
    <row r="14" customFormat="false" ht="21.75" hidden="false" customHeight="true" outlineLevel="0" collapsed="false">
      <c r="B14" s="5" t="s">
        <v>18</v>
      </c>
      <c r="C14" s="5" t="s">
        <v>19</v>
      </c>
    </row>
    <row r="15" customFormat="false" ht="21.75" hidden="false" customHeight="true" outlineLevel="0" collapsed="false">
      <c r="B15" s="4" t="s">
        <v>20</v>
      </c>
      <c r="C15" s="4" t="s">
        <v>21</v>
      </c>
    </row>
    <row r="18" customFormat="false" ht="15" hidden="false" customHeight="false" outlineLevel="0" collapsed="false">
      <c r="B18" s="8" t="s">
        <v>22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11" min="2" style="1" width="22"/>
  </cols>
  <sheetData>
    <row r="2" customFormat="false" ht="31.5" hidden="false" customHeight="true" outlineLevel="0" collapsed="false">
      <c r="B2" s="2" t="s">
        <v>23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24</v>
      </c>
      <c r="C4" s="3" t="n">
        <v>2.8</v>
      </c>
      <c r="D4" s="3" t="n">
        <v>3.01875</v>
      </c>
      <c r="E4" s="3" t="n">
        <v>3.2375</v>
      </c>
      <c r="F4" s="3" t="n">
        <v>3.45625</v>
      </c>
      <c r="G4" s="3" t="n">
        <v>3.675</v>
      </c>
      <c r="H4" s="3" t="n">
        <v>3.89375</v>
      </c>
      <c r="I4" s="3" t="n">
        <v>4.1125</v>
      </c>
      <c r="J4" s="3" t="n">
        <v>4.33125</v>
      </c>
      <c r="K4" s="3" t="n">
        <v>4.55</v>
      </c>
    </row>
    <row r="5" customFormat="false" ht="21.75" hidden="false" customHeight="true" outlineLevel="0" collapsed="false">
      <c r="B5" s="6" t="n">
        <v>6</v>
      </c>
      <c r="C5" s="9" t="n">
        <v>0.27414649383875</v>
      </c>
      <c r="D5" s="9" t="n">
        <v>0.209357497549688</v>
      </c>
      <c r="E5" s="9" t="n">
        <v>0.17613856962</v>
      </c>
      <c r="F5" s="9" t="n">
        <v>0.174489710049688</v>
      </c>
      <c r="G5" s="9" t="n">
        <v>0.20441091883875</v>
      </c>
      <c r="H5" s="9" t="n">
        <v>0.265902195987188</v>
      </c>
      <c r="I5" s="9" t="n">
        <v>0.358963541495</v>
      </c>
      <c r="J5" s="9" t="n">
        <v>0.483594955362188</v>
      </c>
      <c r="K5" s="9" t="n">
        <v>0.63979643758875</v>
      </c>
    </row>
    <row r="6" customFormat="false" ht="21.75" hidden="false" customHeight="true" outlineLevel="0" collapsed="false">
      <c r="B6" s="7" t="n">
        <v>8</v>
      </c>
      <c r="C6" s="10" t="n">
        <v>0.278282324564766</v>
      </c>
      <c r="D6" s="10" t="n">
        <v>0.212515908073066</v>
      </c>
      <c r="E6" s="10" t="n">
        <v>0.17879583252375</v>
      </c>
      <c r="F6" s="10" t="n">
        <v>0.177122097916816</v>
      </c>
      <c r="G6" s="10" t="n">
        <v>0.207494704252266</v>
      </c>
      <c r="H6" s="10" t="n">
        <v>0.269913651530098</v>
      </c>
      <c r="I6" s="10" t="n">
        <v>0.364378939750313</v>
      </c>
      <c r="J6" s="10" t="n">
        <v>0.49089056891291</v>
      </c>
      <c r="K6" s="10" t="n">
        <v>0.649448539017891</v>
      </c>
    </row>
    <row r="7" customFormat="false" ht="21.75" hidden="false" customHeight="true" outlineLevel="0" collapsed="false">
      <c r="B7" s="6" t="n">
        <v>10</v>
      </c>
      <c r="C7" s="9" t="n">
        <v>0.28077836658095</v>
      </c>
      <c r="D7" s="9" t="n">
        <v>0.214422060885638</v>
      </c>
      <c r="E7" s="9" t="n">
        <v>0.1803995344872</v>
      </c>
      <c r="F7" s="9" t="n">
        <v>0.178710787385638</v>
      </c>
      <c r="G7" s="9" t="n">
        <v>0.20935581958095</v>
      </c>
      <c r="H7" s="9" t="n">
        <v>0.272334631073137</v>
      </c>
      <c r="I7" s="9" t="n">
        <v>0.3676472218622</v>
      </c>
      <c r="J7" s="9" t="n">
        <v>0.495293591948137</v>
      </c>
      <c r="K7" s="9" t="n">
        <v>0.65527374133095</v>
      </c>
    </row>
    <row r="8" customFormat="false" ht="21.75" hidden="false" customHeight="true" outlineLevel="0" collapsed="false">
      <c r="B8" s="7" t="n">
        <v>12</v>
      </c>
      <c r="C8" s="10" t="n">
        <v>0.282448454416979</v>
      </c>
      <c r="D8" s="10" t="n">
        <v>0.215697457135078</v>
      </c>
      <c r="E8" s="10" t="n">
        <v>0.181472562555</v>
      </c>
      <c r="F8" s="10" t="n">
        <v>0.179773770676745</v>
      </c>
      <c r="G8" s="10" t="n">
        <v>0.210601081500313</v>
      </c>
      <c r="H8" s="10" t="n">
        <v>0.273954495025703</v>
      </c>
      <c r="I8" s="10" t="n">
        <v>0.369834011252917</v>
      </c>
      <c r="J8" s="10" t="n">
        <v>0.498239630181953</v>
      </c>
      <c r="K8" s="10" t="n">
        <v>0.659171351812812</v>
      </c>
    </row>
    <row r="9" customFormat="false" ht="21.75" hidden="false" customHeight="true" outlineLevel="0" collapsed="false">
      <c r="B9" s="6" t="n">
        <v>16</v>
      </c>
      <c r="C9" s="9" t="n">
        <v>0.28454288151541</v>
      </c>
      <c r="D9" s="9" t="n">
        <v>0.217296908618071</v>
      </c>
      <c r="E9" s="9" t="n">
        <v>0.182818227743438</v>
      </c>
      <c r="F9" s="9" t="n">
        <v>0.181106838891509</v>
      </c>
      <c r="G9" s="9" t="n">
        <v>0.212162742062285</v>
      </c>
      <c r="H9" s="9" t="n">
        <v>0.275985937255767</v>
      </c>
      <c r="I9" s="9" t="n">
        <v>0.372576424471953</v>
      </c>
      <c r="J9" s="9" t="n">
        <v>0.501934203710845</v>
      </c>
      <c r="K9" s="9" t="n">
        <v>0.664059274972441</v>
      </c>
    </row>
    <row r="10" customFormat="false" ht="21.75" hidden="false" customHeight="true" outlineLevel="0" collapsed="false">
      <c r="B10" s="7" t="n">
        <v>20</v>
      </c>
      <c r="C10" s="10" t="n">
        <v>0.285803173669613</v>
      </c>
      <c r="D10" s="10" t="n">
        <v>0.218259356132503</v>
      </c>
      <c r="E10" s="10" t="n">
        <v>0.1836279629118</v>
      </c>
      <c r="F10" s="10" t="n">
        <v>0.181908994007503</v>
      </c>
      <c r="G10" s="10" t="n">
        <v>0.213102449419613</v>
      </c>
      <c r="H10" s="10" t="n">
        <v>0.277208329148128</v>
      </c>
      <c r="I10" s="10" t="n">
        <v>0.37422663319305</v>
      </c>
      <c r="J10" s="10" t="n">
        <v>0.504157361554378</v>
      </c>
      <c r="K10" s="10" t="n">
        <v>0.667000514232113</v>
      </c>
    </row>
    <row r="11" customFormat="false" ht="21.75" hidden="false" customHeight="true" outlineLevel="0" collapsed="false">
      <c r="B11" s="6" t="n">
        <v>24</v>
      </c>
      <c r="C11" s="9" t="n">
        <v>0.286644883395391</v>
      </c>
      <c r="D11" s="9" t="n">
        <v>0.218902144735723</v>
      </c>
      <c r="E11" s="9" t="n">
        <v>0.18416875971375</v>
      </c>
      <c r="F11" s="9" t="n">
        <v>0.182444728329473</v>
      </c>
      <c r="G11" s="9" t="n">
        <v>0.213730050582891</v>
      </c>
      <c r="H11" s="9" t="n">
        <v>0.278024726474004</v>
      </c>
      <c r="I11" s="9" t="n">
        <v>0.375328756002813</v>
      </c>
      <c r="J11" s="9" t="n">
        <v>0.505642139169316</v>
      </c>
      <c r="K11" s="9" t="n">
        <v>0.668964875973516</v>
      </c>
    </row>
    <row r="12" customFormat="false" ht="21.75" hidden="false" customHeight="true" outlineLevel="0" collapsed="false">
      <c r="B12" s="7" t="n">
        <v>28</v>
      </c>
      <c r="C12" s="10" t="n">
        <v>0.287246846647506</v>
      </c>
      <c r="D12" s="10" t="n">
        <v>0.219361846110397</v>
      </c>
      <c r="E12" s="10" t="n">
        <v>0.184555519889694</v>
      </c>
      <c r="F12" s="10" t="n">
        <v>0.182827867985397</v>
      </c>
      <c r="G12" s="10" t="n">
        <v>0.214178890397506</v>
      </c>
      <c r="H12" s="10" t="n">
        <v>0.278608587126022</v>
      </c>
      <c r="I12" s="10" t="n">
        <v>0.376116958170944</v>
      </c>
      <c r="J12" s="10" t="n">
        <v>0.506704003532272</v>
      </c>
      <c r="K12" s="10" t="n">
        <v>0.670369723210006</v>
      </c>
    </row>
    <row r="13" customFormat="false" ht="21.75" hidden="false" customHeight="true" outlineLevel="0" collapsed="false">
      <c r="B13" s="6" t="n">
        <v>32</v>
      </c>
      <c r="C13" s="9" t="n">
        <v>0.287698724878462</v>
      </c>
      <c r="D13" s="9" t="n">
        <v>0.219706932032545</v>
      </c>
      <c r="E13" s="9" t="n">
        <v>0.184845850742109</v>
      </c>
      <c r="F13" s="9" t="n">
        <v>0.183115481007155</v>
      </c>
      <c r="G13" s="9" t="n">
        <v>0.214515822827681</v>
      </c>
      <c r="H13" s="9" t="n">
        <v>0.279046876203688</v>
      </c>
      <c r="I13" s="9" t="n">
        <v>0.376708641135176</v>
      </c>
      <c r="J13" s="9" t="n">
        <v>0.507501117622145</v>
      </c>
      <c r="K13" s="9" t="n">
        <v>0.671424305664595</v>
      </c>
    </row>
    <row r="16" customFormat="false" ht="15" hidden="false" customHeight="false" outlineLevel="0" collapsed="false">
      <c r="B16" s="8" t="s">
        <v>25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5" min="3" style="1" width="18"/>
  </cols>
  <sheetData>
    <row r="2" customFormat="false" ht="31.5" hidden="false" customHeight="true" outlineLevel="0" collapsed="false">
      <c r="B2" s="2" t="s">
        <v>26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27</v>
      </c>
      <c r="C4" s="3" t="s">
        <v>28</v>
      </c>
      <c r="D4" s="3" t="s">
        <v>29</v>
      </c>
      <c r="E4" s="3" t="s">
        <v>30</v>
      </c>
    </row>
    <row r="5" customFormat="false" ht="21.75" hidden="false" customHeight="true" outlineLevel="0" collapsed="false">
      <c r="B5" s="9" t="n">
        <v>2.8</v>
      </c>
      <c r="C5" s="9" t="n">
        <v>0.506038566397669</v>
      </c>
      <c r="D5" s="9" t="n">
        <v>0.506038566397669</v>
      </c>
      <c r="E5" s="9" t="n">
        <v>0</v>
      </c>
    </row>
    <row r="6" customFormat="false" ht="21.75" hidden="false" customHeight="true" outlineLevel="0" collapsed="false">
      <c r="B6" s="10" t="n">
        <v>3.01875</v>
      </c>
      <c r="C6" s="10" t="n">
        <v>0.337708779053331</v>
      </c>
      <c r="D6" s="10" t="n">
        <v>0.337708779053331</v>
      </c>
      <c r="E6" s="10" t="n">
        <v>5.55111512312578E-017</v>
      </c>
    </row>
    <row r="7" customFormat="false" ht="21.75" hidden="false" customHeight="true" outlineLevel="0" collapsed="false">
      <c r="B7" s="9" t="n">
        <v>3.2375</v>
      </c>
      <c r="C7" s="9" t="n">
        <v>0.260610116687252</v>
      </c>
      <c r="D7" s="9" t="n">
        <v>0.260610116687252</v>
      </c>
      <c r="E7" s="9" t="n">
        <v>0</v>
      </c>
    </row>
    <row r="8" customFormat="false" ht="21.75" hidden="false" customHeight="true" outlineLevel="0" collapsed="false">
      <c r="B8" s="10" t="n">
        <v>3.45625</v>
      </c>
      <c r="C8" s="10" t="n">
        <v>0.25695927859133</v>
      </c>
      <c r="D8" s="10" t="n">
        <v>0.25695927859133</v>
      </c>
      <c r="E8" s="10" t="n">
        <v>0</v>
      </c>
    </row>
    <row r="9" customFormat="false" ht="21.75" hidden="false" customHeight="true" outlineLevel="0" collapsed="false">
      <c r="B9" s="9" t="n">
        <v>3.675</v>
      </c>
      <c r="C9" s="9" t="n">
        <v>0.325810974226707</v>
      </c>
      <c r="D9" s="9" t="n">
        <v>0.325810974226707</v>
      </c>
      <c r="E9" s="9" t="n">
        <v>5.55111512312578E-017</v>
      </c>
    </row>
    <row r="10" customFormat="false" ht="21.75" hidden="false" customHeight="true" outlineLevel="0" collapsed="false">
      <c r="B10" s="10" t="n">
        <v>3.89375</v>
      </c>
      <c r="C10" s="10" t="n">
        <v>0.483384208940993</v>
      </c>
      <c r="D10" s="10" t="n">
        <v>0.483384208940993</v>
      </c>
      <c r="E10" s="10" t="n">
        <v>0</v>
      </c>
    </row>
    <row r="11" customFormat="false" ht="21.75" hidden="false" customHeight="true" outlineLevel="0" collapsed="false">
      <c r="B11" s="9" t="n">
        <v>4.1125</v>
      </c>
      <c r="C11" s="9" t="n">
        <v>0.758202277672061</v>
      </c>
      <c r="D11" s="9" t="n">
        <v>0.758202277672061</v>
      </c>
      <c r="E11" s="9" t="n">
        <v>0</v>
      </c>
    </row>
    <row r="12" customFormat="false" ht="21.75" hidden="false" customHeight="true" outlineLevel="0" collapsed="false">
      <c r="B12" s="10" t="n">
        <v>4.33125</v>
      </c>
      <c r="C12" s="10" t="n">
        <v>1.18558368870689</v>
      </c>
      <c r="D12" s="10" t="n">
        <v>1.18558368870689</v>
      </c>
      <c r="E12" s="10" t="n">
        <v>0</v>
      </c>
    </row>
    <row r="13" customFormat="false" ht="21.75" hidden="false" customHeight="true" outlineLevel="0" collapsed="false">
      <c r="B13" s="9" t="n">
        <v>4.55</v>
      </c>
      <c r="C13" s="9" t="n">
        <v>1.80414857333821</v>
      </c>
      <c r="D13" s="9" t="n">
        <v>1.80414857333821</v>
      </c>
      <c r="E13" s="9" t="n">
        <v>0</v>
      </c>
    </row>
    <row r="16" customFormat="false" ht="15" hidden="false" customHeight="false" outlineLevel="0" collapsed="false">
      <c r="B16" s="8" t="s">
        <v>31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4" min="3" style="1" width="20"/>
    <col collapsed="false" customWidth="true" hidden="false" outlineLevel="0" max="5" min="5" style="1" width="16"/>
  </cols>
  <sheetData>
    <row r="2" customFormat="false" ht="31.5" hidden="false" customHeight="true" outlineLevel="0" collapsed="false">
      <c r="B2" s="2" t="s">
        <v>32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27</v>
      </c>
      <c r="C4" s="3" t="s">
        <v>33</v>
      </c>
      <c r="D4" s="3" t="s">
        <v>34</v>
      </c>
      <c r="E4" s="3" t="s">
        <v>35</v>
      </c>
    </row>
    <row r="5" customFormat="false" ht="21.75" hidden="false" customHeight="true" outlineLevel="0" collapsed="false">
      <c r="B5" s="9" t="n">
        <v>2.8</v>
      </c>
      <c r="C5" s="9" t="n">
        <v>0.113217077461931</v>
      </c>
      <c r="D5" s="9" t="n">
        <v>0.13183356551937</v>
      </c>
      <c r="E5" s="9" t="n">
        <v>16.4431801939937</v>
      </c>
    </row>
    <row r="6" customFormat="false" ht="21.75" hidden="false" customHeight="true" outlineLevel="0" collapsed="false">
      <c r="B6" s="10" t="n">
        <v>3.01875</v>
      </c>
      <c r="C6" s="10" t="n">
        <v>0.0924892604847885</v>
      </c>
      <c r="D6" s="10" t="n">
        <v>0.105494611157236</v>
      </c>
      <c r="E6" s="10" t="n">
        <v>14.061471141924</v>
      </c>
    </row>
    <row r="7" customFormat="false" ht="21.75" hidden="false" customHeight="true" outlineLevel="0" collapsed="false">
      <c r="B7" s="9" t="n">
        <v>3.2375</v>
      </c>
      <c r="C7" s="9" t="n">
        <v>0.0812485776674277</v>
      </c>
      <c r="D7" s="9" t="n">
        <v>0.0911333174004885</v>
      </c>
      <c r="E7" s="9" t="n">
        <v>12.1660464919418</v>
      </c>
    </row>
    <row r="8" customFormat="false" ht="21.75" hidden="false" customHeight="true" outlineLevel="0" collapsed="false">
      <c r="B8" s="10" t="n">
        <v>3.45625</v>
      </c>
      <c r="C8" s="10" t="n">
        <v>0.0806774724671559</v>
      </c>
      <c r="D8" s="10" t="n">
        <v>0.0892552785288494</v>
      </c>
      <c r="E8" s="10" t="n">
        <v>10.6322196263468</v>
      </c>
    </row>
    <row r="9" customFormat="false" ht="21.75" hidden="false" customHeight="true" outlineLevel="0" collapsed="false">
      <c r="B9" s="9" t="n">
        <v>3.675</v>
      </c>
      <c r="C9" s="9" t="n">
        <v>0.0908454092845548</v>
      </c>
      <c r="D9" s="9" t="n">
        <v>0.0993603760604627</v>
      </c>
      <c r="E9" s="9" t="n">
        <v>9.37302924051608</v>
      </c>
    </row>
    <row r="10" customFormat="false" ht="21.75" hidden="false" customHeight="true" outlineLevel="0" collapsed="false">
      <c r="B10" s="10" t="n">
        <v>3.89375</v>
      </c>
      <c r="C10" s="10" t="n">
        <v>0.110653807214118</v>
      </c>
      <c r="D10" s="10" t="n">
        <v>0.119867153191752</v>
      </c>
      <c r="E10" s="10" t="n">
        <v>8.32628014308268</v>
      </c>
    </row>
    <row r="11" customFormat="false" ht="21.75" hidden="false" customHeight="true" outlineLevel="0" collapsed="false">
      <c r="B11" s="9" t="n">
        <v>4.1125</v>
      </c>
      <c r="C11" s="9" t="n">
        <v>0.138583866497917</v>
      </c>
      <c r="D11" s="9" t="n">
        <v>0.14890352625982</v>
      </c>
      <c r="E11" s="9" t="n">
        <v>7.44650876230133</v>
      </c>
    </row>
    <row r="12" customFormat="false" ht="21.75" hidden="false" customHeight="true" outlineLevel="0" collapsed="false">
      <c r="B12" s="10" t="n">
        <v>4.33125</v>
      </c>
      <c r="C12" s="10" t="n">
        <v>0.173295082624141</v>
      </c>
      <c r="D12" s="10" t="n">
        <v>0.184905577507717</v>
      </c>
      <c r="E12" s="10" t="n">
        <v>6.69984093475908</v>
      </c>
    </row>
    <row r="13" customFormat="false" ht="21.75" hidden="false" customHeight="true" outlineLevel="0" collapsed="false">
      <c r="B13" s="9" t="n">
        <v>4.55</v>
      </c>
      <c r="C13" s="9" t="n">
        <v>0.213774687999575</v>
      </c>
      <c r="D13" s="9" t="n">
        <v>0.226730734024098</v>
      </c>
      <c r="E13" s="9" t="n">
        <v>6.06060808497047</v>
      </c>
    </row>
    <row r="16" customFormat="false" ht="15" hidden="false" customHeight="false" outlineLevel="0" collapsed="false">
      <c r="B16" s="8" t="s">
        <v>36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4"/>
  </cols>
  <sheetData>
    <row r="2" customFormat="false" ht="31.5" hidden="false" customHeight="true" outlineLevel="0" collapsed="false">
      <c r="B2" s="2" t="s">
        <v>37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38</v>
      </c>
      <c r="C5" s="9" t="n">
        <v>1</v>
      </c>
    </row>
    <row r="6" customFormat="false" ht="21.75" hidden="false" customHeight="true" outlineLevel="0" collapsed="false">
      <c r="B6" s="5" t="s">
        <v>39</v>
      </c>
      <c r="C6" s="10" t="n">
        <v>0.2</v>
      </c>
    </row>
    <row r="7" customFormat="false" ht="21.75" hidden="false" customHeight="true" outlineLevel="0" collapsed="false">
      <c r="B7" s="4" t="s">
        <v>40</v>
      </c>
      <c r="C7" s="4" t="b">
        <f aca="false">TRUE()</f>
        <v>1</v>
      </c>
    </row>
    <row r="8" customFormat="false" ht="21.75" hidden="false" customHeight="true" outlineLevel="0" collapsed="false">
      <c r="B8" s="5" t="s">
        <v>41</v>
      </c>
      <c r="C8" s="7" t="n">
        <v>0</v>
      </c>
    </row>
    <row r="9" customFormat="false" ht="21.75" hidden="false" customHeight="true" outlineLevel="0" collapsed="false">
      <c r="B9" s="4" t="s">
        <v>42</v>
      </c>
      <c r="C9" s="6" t="n">
        <v>50</v>
      </c>
    </row>
    <row r="10" customFormat="false" ht="21.75" hidden="false" customHeight="true" outlineLevel="0" collapsed="false">
      <c r="B10" s="5" t="s">
        <v>43</v>
      </c>
      <c r="C10" s="10" t="n">
        <v>-999</v>
      </c>
    </row>
    <row r="11" customFormat="false" ht="21.75" hidden="false" customHeight="true" outlineLevel="0" collapsed="false">
      <c r="B11" s="4" t="s">
        <v>44</v>
      </c>
      <c r="C11" s="9" t="n">
        <v>0.000257913084581607</v>
      </c>
    </row>
    <row r="12" customFormat="false" ht="21.75" hidden="false" customHeight="true" outlineLevel="0" collapsed="false">
      <c r="B12" s="5" t="s">
        <v>45</v>
      </c>
      <c r="C12" s="5" t="b">
        <f aca="false">FALSE()</f>
        <v>0</v>
      </c>
    </row>
    <row r="13" customFormat="false" ht="21.75" hidden="false" customHeight="true" outlineLevel="0" collapsed="false">
      <c r="B13" s="4" t="s">
        <v>46</v>
      </c>
      <c r="C13" s="9" t="n">
        <v>0.000348182664185169</v>
      </c>
    </row>
    <row r="16" customFormat="false" ht="15" hidden="false" customHeight="false" outlineLevel="0" collapsed="false">
      <c r="B16" s="8" t="s">
        <v>47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4"/>
  </cols>
  <sheetData>
    <row r="2" customFormat="false" ht="31.5" hidden="false" customHeight="true" outlineLevel="0" collapsed="false">
      <c r="B2" s="2" t="s">
        <v>48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49</v>
      </c>
      <c r="C5" s="9" t="n">
        <v>0.2433</v>
      </c>
    </row>
    <row r="6" customFormat="false" ht="21.75" hidden="false" customHeight="true" outlineLevel="0" collapsed="false">
      <c r="B6" s="5" t="s">
        <v>50</v>
      </c>
      <c r="C6" s="10" t="n">
        <v>0.0042907471377372</v>
      </c>
    </row>
    <row r="7" customFormat="false" ht="21.75" hidden="false" customHeight="true" outlineLevel="0" collapsed="false">
      <c r="B7" s="4" t="s">
        <v>51</v>
      </c>
      <c r="C7" s="9" t="n">
        <v>0.991210912877757</v>
      </c>
    </row>
    <row r="8" customFormat="false" ht="21.75" hidden="false" customHeight="true" outlineLevel="0" collapsed="false">
      <c r="B8" s="5" t="s">
        <v>52</v>
      </c>
      <c r="C8" s="10" t="n">
        <v>0.991210912877757</v>
      </c>
    </row>
    <row r="9" customFormat="false" ht="21.75" hidden="false" customHeight="true" outlineLevel="0" collapsed="false">
      <c r="B9" s="4" t="s">
        <v>53</v>
      </c>
      <c r="C9" s="6" t="n">
        <v>2433</v>
      </c>
    </row>
    <row r="10" customFormat="false" ht="21.75" hidden="false" customHeight="true" outlineLevel="0" collapsed="false">
      <c r="B10" s="5" t="s">
        <v>54</v>
      </c>
      <c r="C10" s="7" t="n">
        <v>10000</v>
      </c>
    </row>
    <row r="11" customFormat="false" ht="21.75" hidden="false" customHeight="true" outlineLevel="0" collapsed="false">
      <c r="B11" s="4" t="s">
        <v>55</v>
      </c>
      <c r="C11" s="9" t="n">
        <v>0.2433</v>
      </c>
    </row>
    <row r="12" customFormat="false" ht="21.75" hidden="false" customHeight="true" outlineLevel="0" collapsed="false">
      <c r="B12" s="5" t="s">
        <v>56</v>
      </c>
      <c r="C12" s="7" t="n">
        <v>777040</v>
      </c>
    </row>
    <row r="15" customFormat="false" ht="15" hidden="false" customHeight="false" outlineLevel="0" collapsed="false">
      <c r="B15" s="8" t="s">
        <v>57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5" min="4" style="1" width="16"/>
  </cols>
  <sheetData>
    <row r="2" customFormat="false" ht="31.5" hidden="false" customHeight="true" outlineLevel="0" collapsed="false">
      <c r="B2" s="2" t="s">
        <v>58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59</v>
      </c>
      <c r="C4" s="3" t="s">
        <v>60</v>
      </c>
      <c r="D4" s="3" t="s">
        <v>61</v>
      </c>
      <c r="E4" s="3" t="s">
        <v>62</v>
      </c>
    </row>
    <row r="5" customFormat="false" ht="21.75" hidden="false" customHeight="true" outlineLevel="0" collapsed="false">
      <c r="B5" s="4" t="s">
        <v>63</v>
      </c>
      <c r="C5" s="4" t="s">
        <v>64</v>
      </c>
      <c r="D5" s="9" t="n">
        <v>1.73205080756888</v>
      </c>
      <c r="E5" s="9" t="n">
        <v>0.433012701892219</v>
      </c>
    </row>
    <row r="6" customFormat="false" ht="21.75" hidden="false" customHeight="true" outlineLevel="0" collapsed="false">
      <c r="B6" s="5" t="s">
        <v>65</v>
      </c>
      <c r="C6" s="5" t="s">
        <v>66</v>
      </c>
      <c r="D6" s="10" t="n">
        <v>1.83923048454133</v>
      </c>
      <c r="E6" s="10" t="n">
        <v>0.459807621135332</v>
      </c>
    </row>
    <row r="7" customFormat="false" ht="21.75" hidden="false" customHeight="true" outlineLevel="0" collapsed="false">
      <c r="B7" s="4" t="s">
        <v>67</v>
      </c>
      <c r="C7" s="4" t="s">
        <v>68</v>
      </c>
      <c r="D7" s="9" t="n">
        <v>1.96047593344281</v>
      </c>
      <c r="E7" s="9" t="n">
        <v>0.490118983360701</v>
      </c>
    </row>
    <row r="8" customFormat="false" ht="21.75" hidden="false" customHeight="true" outlineLevel="0" collapsed="false">
      <c r="B8" s="5" t="s">
        <v>69</v>
      </c>
      <c r="C8" s="5" t="s">
        <v>70</v>
      </c>
      <c r="D8" s="10" t="n">
        <v>1.83923048454133</v>
      </c>
      <c r="E8" s="10" t="n">
        <v>0.459807621135332</v>
      </c>
    </row>
    <row r="9" customFormat="false" ht="21.75" hidden="false" customHeight="true" outlineLevel="0" collapsed="false">
      <c r="B9" s="4" t="s">
        <v>71</v>
      </c>
      <c r="C9" s="4" t="s">
        <v>72</v>
      </c>
      <c r="D9" s="9" t="n">
        <v>1.83923048454133</v>
      </c>
      <c r="E9" s="9" t="n">
        <v>0.459807621135332</v>
      </c>
    </row>
    <row r="10" customFormat="false" ht="21.75" hidden="false" customHeight="true" outlineLevel="0" collapsed="false">
      <c r="B10" s="5" t="s">
        <v>73</v>
      </c>
      <c r="C10" s="5" t="s">
        <v>74</v>
      </c>
      <c r="D10" s="10" t="n">
        <v>2.28023896615753</v>
      </c>
      <c r="E10" s="10" t="n">
        <v>0.570059741539383</v>
      </c>
    </row>
    <row r="11" customFormat="false" ht="21.75" hidden="false" customHeight="true" outlineLevel="0" collapsed="false">
      <c r="B11" s="4" t="s">
        <v>75</v>
      </c>
      <c r="C11" s="4" t="s">
        <v>76</v>
      </c>
      <c r="D11" s="9" t="n">
        <v>2.85008479631877</v>
      </c>
      <c r="E11" s="9" t="n">
        <v>0.712521199079693</v>
      </c>
    </row>
    <row r="12" customFormat="false" ht="21.75" hidden="false" customHeight="true" outlineLevel="0" collapsed="false">
      <c r="B12" s="5" t="s">
        <v>77</v>
      </c>
      <c r="C12" s="5" t="s">
        <v>78</v>
      </c>
      <c r="D12" s="10" t="n">
        <v>2.80251707688815</v>
      </c>
      <c r="E12" s="10" t="n">
        <v>0.700629269222037</v>
      </c>
    </row>
    <row r="13" customFormat="false" ht="21.75" hidden="false" customHeight="true" outlineLevel="0" collapsed="false">
      <c r="B13" s="4" t="s">
        <v>79</v>
      </c>
      <c r="C13" s="4" t="s">
        <v>76</v>
      </c>
      <c r="D13" s="9" t="n">
        <v>3.46410161513775</v>
      </c>
      <c r="E13" s="9" t="n">
        <v>0.866025403784439</v>
      </c>
    </row>
    <row r="16" customFormat="false" ht="15" hidden="false" customHeight="false" outlineLevel="0" collapsed="false">
      <c r="B16" s="8" t="s">
        <v>80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26"/>
  </cols>
  <sheetData>
    <row r="2" customFormat="false" ht="31.5" hidden="false" customHeight="true" outlineLevel="0" collapsed="false">
      <c r="B2" s="2" t="s">
        <v>81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82</v>
      </c>
      <c r="C5" s="9" t="n">
        <v>13.856406460551</v>
      </c>
    </row>
    <row r="6" customFormat="false" ht="21.75" hidden="false" customHeight="true" outlineLevel="0" collapsed="false">
      <c r="B6" s="5" t="s">
        <v>83</v>
      </c>
      <c r="C6" s="10" t="n">
        <v>9.21463782719653E-013</v>
      </c>
    </row>
    <row r="7" customFormat="false" ht="21.75" hidden="false" customHeight="true" outlineLevel="0" collapsed="false">
      <c r="B7" s="4" t="s">
        <v>84</v>
      </c>
      <c r="C7" s="4" t="b">
        <f aca="false">TRUE()</f>
        <v>1</v>
      </c>
    </row>
    <row r="8" customFormat="false" ht="21.75" hidden="false" customHeight="true" outlineLevel="0" collapsed="false">
      <c r="B8" s="5" t="s">
        <v>85</v>
      </c>
      <c r="C8" s="10" t="n">
        <v>1E-012</v>
      </c>
    </row>
    <row r="9" customFormat="false" ht="21.75" hidden="false" customHeight="true" outlineLevel="0" collapsed="false">
      <c r="B9" s="4" t="s">
        <v>86</v>
      </c>
      <c r="C9" s="9" t="n">
        <v>0.00590572250930155</v>
      </c>
    </row>
    <row r="10" customFormat="false" ht="21.75" hidden="false" customHeight="true" outlineLevel="0" collapsed="false">
      <c r="B10" s="5" t="s">
        <v>87</v>
      </c>
      <c r="C10" s="10" t="n">
        <v>13.856406460551</v>
      </c>
    </row>
    <row r="11" customFormat="false" ht="21.75" hidden="false" customHeight="true" outlineLevel="0" collapsed="false">
      <c r="B11" s="4" t="s">
        <v>88</v>
      </c>
      <c r="C11" s="9" t="n">
        <v>12.1609575646365</v>
      </c>
    </row>
    <row r="12" customFormat="false" ht="21.75" hidden="false" customHeight="true" outlineLevel="0" collapsed="false">
      <c r="B12" s="5" t="s">
        <v>89</v>
      </c>
      <c r="C12" s="10" t="n">
        <v>10.5409255338946</v>
      </c>
    </row>
    <row r="13" customFormat="false" ht="21.75" hidden="false" customHeight="true" outlineLevel="0" collapsed="false">
      <c r="B13" s="4" t="s">
        <v>90</v>
      </c>
      <c r="C13" s="9" t="n">
        <v>7.54247233265651</v>
      </c>
    </row>
    <row r="14" customFormat="false" ht="21.75" hidden="false" customHeight="true" outlineLevel="0" collapsed="false">
      <c r="B14" s="5" t="s">
        <v>91</v>
      </c>
      <c r="C14" s="10" t="n">
        <v>2.66666666666667</v>
      </c>
    </row>
    <row r="15" customFormat="false" ht="21.75" hidden="false" customHeight="true" outlineLevel="0" collapsed="false">
      <c r="B15" s="4" t="s">
        <v>92</v>
      </c>
      <c r="C15" s="9" t="n">
        <v>9.21463782719653E-013</v>
      </c>
    </row>
    <row r="16" customFormat="false" ht="21.75" hidden="false" customHeight="true" outlineLevel="0" collapsed="false">
      <c r="B16" s="5" t="s">
        <v>93</v>
      </c>
      <c r="C16" s="10" t="n">
        <v>2.73606537449489E-011</v>
      </c>
    </row>
    <row r="17" customFormat="false" ht="21.75" hidden="false" customHeight="true" outlineLevel="0" collapsed="false">
      <c r="B17" s="4" t="s">
        <v>94</v>
      </c>
      <c r="C17" s="9" t="n">
        <v>6.98664075572887E-010</v>
      </c>
    </row>
    <row r="18" customFormat="false" ht="21.75" hidden="false" customHeight="true" outlineLevel="0" collapsed="false">
      <c r="B18" s="5" t="s">
        <v>95</v>
      </c>
      <c r="C18" s="10" t="n">
        <v>2.80990587303855E-007</v>
      </c>
    </row>
    <row r="19" customFormat="false" ht="21.75" hidden="false" customHeight="true" outlineLevel="0" collapsed="false">
      <c r="B19" s="4" t="s">
        <v>96</v>
      </c>
      <c r="C19" s="9" t="n">
        <v>0.00482794999383144</v>
      </c>
    </row>
    <row r="22" customFormat="false" ht="15" hidden="false" customHeight="false" outlineLevel="0" collapsed="false">
      <c r="B22" s="8" t="s">
        <v>97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4"/>
  </cols>
  <sheetData>
    <row r="2" customFormat="false" ht="31.5" hidden="false" customHeight="true" outlineLevel="0" collapsed="false">
      <c r="B2" s="2" t="s">
        <v>98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99</v>
      </c>
      <c r="C5" s="9" t="n">
        <v>0.004643641953125</v>
      </c>
    </row>
    <row r="6" customFormat="false" ht="21.75" hidden="false" customHeight="true" outlineLevel="0" collapsed="false">
      <c r="B6" s="5" t="s">
        <v>100</v>
      </c>
      <c r="C6" s="10" t="n">
        <v>0.189778612828125</v>
      </c>
    </row>
    <row r="7" customFormat="false" ht="21.75" hidden="false" customHeight="true" outlineLevel="0" collapsed="false">
      <c r="B7" s="4" t="s">
        <v>101</v>
      </c>
      <c r="C7" s="9" t="n">
        <v>0.0123862081750398</v>
      </c>
    </row>
    <row r="8" customFormat="false" ht="21.75" hidden="false" customHeight="true" outlineLevel="0" collapsed="false">
      <c r="B8" s="5" t="s">
        <v>102</v>
      </c>
      <c r="C8" s="5" t="s">
        <v>103</v>
      </c>
    </row>
    <row r="9" customFormat="false" ht="21.75" hidden="false" customHeight="true" outlineLevel="0" collapsed="false">
      <c r="B9" s="4" t="s">
        <v>104</v>
      </c>
      <c r="C9" s="9" t="n">
        <v>0.00155506944444439</v>
      </c>
    </row>
    <row r="10" customFormat="false" ht="21.75" hidden="false" customHeight="true" outlineLevel="0" collapsed="false">
      <c r="B10" s="5" t="s">
        <v>105</v>
      </c>
      <c r="C10" s="7" t="n">
        <v>2000</v>
      </c>
    </row>
    <row r="11" customFormat="false" ht="21.75" hidden="false" customHeight="true" outlineLevel="0" collapsed="false">
      <c r="B11" s="4" t="s">
        <v>56</v>
      </c>
      <c r="C11" s="6" t="n">
        <v>515003</v>
      </c>
    </row>
    <row r="12" customFormat="false" ht="21.75" hidden="false" customHeight="true" outlineLevel="0" collapsed="false">
      <c r="B12" s="5" t="s">
        <v>106</v>
      </c>
      <c r="C12" s="10" t="n">
        <v>0.185134970875</v>
      </c>
    </row>
    <row r="15" customFormat="false" ht="15" hidden="false" customHeight="false" outlineLevel="0" collapsed="false">
      <c r="B15" s="8" t="s">
        <v>107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4"/>
  </cols>
  <sheetData>
    <row r="2" customFormat="false" ht="31.5" hidden="false" customHeight="true" outlineLevel="0" collapsed="false">
      <c r="B2" s="2" t="s">
        <v>108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109</v>
      </c>
      <c r="C5" s="6" t="n">
        <v>369</v>
      </c>
    </row>
    <row r="6" customFormat="false" ht="21.75" hidden="false" customHeight="true" outlineLevel="0" collapsed="false">
      <c r="B6" s="5" t="s">
        <v>110</v>
      </c>
      <c r="C6" s="7" t="n">
        <v>369</v>
      </c>
    </row>
    <row r="7" customFormat="false" ht="21.75" hidden="false" customHeight="true" outlineLevel="0" collapsed="false">
      <c r="B7" s="4" t="s">
        <v>111</v>
      </c>
      <c r="C7" s="4" t="b">
        <f aca="false">TRUE()</f>
        <v>1</v>
      </c>
    </row>
    <row r="8" customFormat="false" ht="21.75" hidden="false" customHeight="true" outlineLevel="0" collapsed="false">
      <c r="B8" s="5" t="s">
        <v>112</v>
      </c>
      <c r="C8" s="10" t="n">
        <v>0.0363484526190476</v>
      </c>
    </row>
    <row r="9" customFormat="false" ht="21.75" hidden="false" customHeight="true" outlineLevel="0" collapsed="false">
      <c r="B9" s="4" t="s">
        <v>113</v>
      </c>
      <c r="C9" s="9" t="n">
        <v>3.35830000000001</v>
      </c>
    </row>
    <row r="10" customFormat="false" ht="21.75" hidden="false" customHeight="true" outlineLevel="0" collapsed="false">
      <c r="B10" s="5" t="s">
        <v>114</v>
      </c>
      <c r="C10" s="10" t="n">
        <v>0.181776999999997</v>
      </c>
    </row>
    <row r="11" customFormat="false" ht="21.75" hidden="false" customHeight="true" outlineLevel="0" collapsed="false">
      <c r="B11" s="4" t="s">
        <v>115</v>
      </c>
      <c r="C11" s="9" t="n">
        <v>0.700000000000007</v>
      </c>
    </row>
    <row r="12" customFormat="false" ht="21.75" hidden="false" customHeight="true" outlineLevel="0" collapsed="false">
      <c r="B12" s="5" t="s">
        <v>116</v>
      </c>
      <c r="C12" s="10" t="n">
        <v>2.991</v>
      </c>
    </row>
    <row r="13" customFormat="false" ht="21.75" hidden="false" customHeight="true" outlineLevel="0" collapsed="false">
      <c r="B13" s="4" t="s">
        <v>117</v>
      </c>
      <c r="C13" s="9" t="n">
        <v>6.3</v>
      </c>
    </row>
    <row r="14" customFormat="false" ht="21.75" hidden="false" customHeight="true" outlineLevel="0" collapsed="false">
      <c r="B14" s="5" t="s">
        <v>118</v>
      </c>
      <c r="C14" s="10" t="n">
        <v>2.96608108264965</v>
      </c>
    </row>
    <row r="15" customFormat="false" ht="21.75" hidden="false" customHeight="true" outlineLevel="0" collapsed="false">
      <c r="B15" s="4" t="s">
        <v>119</v>
      </c>
      <c r="C15" s="9" t="n">
        <v>6.48224259128841</v>
      </c>
    </row>
    <row r="18" customFormat="false" ht="15" hidden="false" customHeight="false" outlineLevel="0" collapsed="false">
      <c r="B18" s="8" t="s">
        <v>120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4"/>
  </cols>
  <sheetData>
    <row r="2" customFormat="false" ht="31.5" hidden="false" customHeight="true" outlineLevel="0" collapsed="false">
      <c r="B2" s="2" t="s">
        <v>121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122</v>
      </c>
      <c r="C5" s="9" t="n">
        <v>91.9509195091951</v>
      </c>
    </row>
    <row r="6" customFormat="false" ht="21.75" hidden="false" customHeight="true" outlineLevel="0" collapsed="false">
      <c r="B6" s="5" t="s">
        <v>123</v>
      </c>
      <c r="C6" s="10" t="n">
        <v>8.00008000080001</v>
      </c>
    </row>
    <row r="7" customFormat="false" ht="21.75" hidden="false" customHeight="true" outlineLevel="0" collapsed="false">
      <c r="B7" s="4" t="s">
        <v>124</v>
      </c>
      <c r="C7" s="9" t="n">
        <v>0.0490004900049003</v>
      </c>
    </row>
    <row r="8" customFormat="false" ht="21.75" hidden="false" customHeight="true" outlineLevel="0" collapsed="false">
      <c r="B8" s="5" t="s">
        <v>125</v>
      </c>
      <c r="C8" s="10" t="n">
        <v>0.00012999860000007</v>
      </c>
    </row>
    <row r="9" customFormat="false" ht="21.75" hidden="false" customHeight="true" outlineLevel="0" collapsed="false">
      <c r="B9" s="4" t="s">
        <v>126</v>
      </c>
      <c r="C9" s="9" t="n">
        <v>0.401110328743054</v>
      </c>
    </row>
    <row r="10" customFormat="false" ht="21.75" hidden="false" customHeight="true" outlineLevel="0" collapsed="false">
      <c r="B10" s="5" t="s">
        <v>127</v>
      </c>
      <c r="C10" s="10" t="n">
        <v>8.78313912218454E-018</v>
      </c>
    </row>
    <row r="11" customFormat="false" ht="21.75" hidden="false" customHeight="true" outlineLevel="0" collapsed="false">
      <c r="B11" s="4" t="s">
        <v>128</v>
      </c>
      <c r="C11" s="9" t="n">
        <v>4.07099999999556</v>
      </c>
    </row>
    <row r="12" customFormat="false" ht="21.75" hidden="false" customHeight="true" outlineLevel="0" collapsed="false">
      <c r="B12" s="5" t="s">
        <v>129</v>
      </c>
      <c r="C12" s="10" t="n">
        <v>0.0875833242491763</v>
      </c>
    </row>
    <row r="15" customFormat="false" ht="15" hidden="false" customHeight="false" outlineLevel="0" collapsed="false">
      <c r="B15" s="8" t="s">
        <v>130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4"/>
  </cols>
  <sheetData>
    <row r="2" customFormat="false" ht="31.5" hidden="false" customHeight="true" outlineLevel="0" collapsed="false">
      <c r="B2" s="2" t="s">
        <v>131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132</v>
      </c>
      <c r="C5" s="9" t="n">
        <v>0.477464829275686</v>
      </c>
    </row>
    <row r="6" customFormat="false" ht="21.75" hidden="false" customHeight="true" outlineLevel="0" collapsed="false">
      <c r="B6" s="5" t="s">
        <v>133</v>
      </c>
      <c r="C6" s="10" t="n">
        <v>0.477464829275688</v>
      </c>
    </row>
    <row r="7" customFormat="false" ht="21.75" hidden="false" customHeight="true" outlineLevel="0" collapsed="false">
      <c r="B7" s="4" t="s">
        <v>134</v>
      </c>
      <c r="C7" s="9" t="n">
        <v>2.27595720048157E-015</v>
      </c>
    </row>
    <row r="8" customFormat="false" ht="21.75" hidden="false" customHeight="true" outlineLevel="0" collapsed="false">
      <c r="B8" s="5" t="s">
        <v>135</v>
      </c>
      <c r="C8" s="5" t="s">
        <v>136</v>
      </c>
    </row>
    <row r="9" customFormat="false" ht="21.75" hidden="false" customHeight="true" outlineLevel="0" collapsed="false">
      <c r="B9" s="4" t="s">
        <v>137</v>
      </c>
      <c r="C9" s="9" t="n">
        <v>5.07963978924829</v>
      </c>
    </row>
    <row r="10" customFormat="false" ht="21.75" hidden="false" customHeight="true" outlineLevel="0" collapsed="false">
      <c r="B10" s="5" t="s">
        <v>138</v>
      </c>
      <c r="C10" s="10" t="n">
        <v>-0.374181169935238</v>
      </c>
    </row>
    <row r="11" customFormat="false" ht="21.75" hidden="false" customHeight="true" outlineLevel="0" collapsed="false">
      <c r="B11" s="4" t="s">
        <v>139</v>
      </c>
      <c r="C11" s="9" t="n">
        <v>4.50761124732304</v>
      </c>
    </row>
    <row r="12" customFormat="false" ht="21.75" hidden="false" customHeight="true" outlineLevel="0" collapsed="false">
      <c r="B12" s="5" t="s">
        <v>140</v>
      </c>
      <c r="C12" s="10" t="n">
        <v>2.76544179394317</v>
      </c>
    </row>
    <row r="13" customFormat="false" ht="21.75" hidden="false" customHeight="true" outlineLevel="0" collapsed="false">
      <c r="B13" s="4" t="s">
        <v>141</v>
      </c>
      <c r="C13" s="9" t="n">
        <v>1.77635683940025E-015</v>
      </c>
    </row>
    <row r="14" customFormat="false" ht="21.75" hidden="false" customHeight="true" outlineLevel="0" collapsed="false">
      <c r="B14" s="5" t="s">
        <v>142</v>
      </c>
      <c r="C14" s="10" t="n">
        <v>0.9359375</v>
      </c>
    </row>
    <row r="15" customFormat="false" ht="21.75" hidden="false" customHeight="true" outlineLevel="0" collapsed="false">
      <c r="B15" s="4" t="s">
        <v>143</v>
      </c>
      <c r="C15" s="9" t="n">
        <v>0.864957418886196</v>
      </c>
    </row>
    <row r="16" customFormat="false" ht="21.75" hidden="false" customHeight="true" outlineLevel="0" collapsed="false">
      <c r="B16" s="5" t="s">
        <v>144</v>
      </c>
      <c r="C16" s="5" t="s">
        <v>145</v>
      </c>
    </row>
    <row r="19" customFormat="false" ht="15" hidden="false" customHeight="false" outlineLevel="0" collapsed="false">
      <c r="B19" s="8" t="s">
        <v>146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4"/>
  </cols>
  <sheetData>
    <row r="2" customFormat="false" ht="31.5" hidden="false" customHeight="true" outlineLevel="0" collapsed="false">
      <c r="B2" s="2" t="s">
        <v>147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</row>
    <row r="5" customFormat="false" ht="21.75" hidden="false" customHeight="true" outlineLevel="0" collapsed="false">
      <c r="B5" s="4" t="s">
        <v>148</v>
      </c>
      <c r="C5" s="9" t="n">
        <v>6.1E-010</v>
      </c>
    </row>
    <row r="6" customFormat="false" ht="21.75" hidden="false" customHeight="true" outlineLevel="0" collapsed="false">
      <c r="B6" s="5" t="s">
        <v>149</v>
      </c>
      <c r="C6" s="10" t="n">
        <v>0.0908885</v>
      </c>
    </row>
    <row r="7" customFormat="false" ht="21.75" hidden="false" customHeight="true" outlineLevel="0" collapsed="false">
      <c r="B7" s="4" t="s">
        <v>150</v>
      </c>
      <c r="C7" s="9" t="n">
        <v>148997540.983607</v>
      </c>
    </row>
    <row r="8" customFormat="false" ht="21.75" hidden="false" customHeight="true" outlineLevel="0" collapsed="false">
      <c r="B8" s="5" t="s">
        <v>151</v>
      </c>
      <c r="C8" s="10" t="n">
        <v>8.17317910098903</v>
      </c>
    </row>
    <row r="9" customFormat="false" ht="21.75" hidden="false" customHeight="true" outlineLevel="0" collapsed="false">
      <c r="B9" s="4" t="s">
        <v>152</v>
      </c>
      <c r="C9" s="4" t="s">
        <v>153</v>
      </c>
    </row>
    <row r="10" customFormat="false" ht="21.75" hidden="false" customHeight="true" outlineLevel="0" collapsed="false">
      <c r="B10" s="5" t="s">
        <v>154</v>
      </c>
      <c r="C10" s="7" t="n">
        <v>0</v>
      </c>
    </row>
    <row r="11" customFormat="false" ht="21.75" hidden="false" customHeight="true" outlineLevel="0" collapsed="false">
      <c r="B11" s="4" t="s">
        <v>155</v>
      </c>
      <c r="C11" s="6" t="n">
        <v>1</v>
      </c>
    </row>
    <row r="12" customFormat="false" ht="21.75" hidden="false" customHeight="true" outlineLevel="0" collapsed="false">
      <c r="B12" s="5" t="s">
        <v>156</v>
      </c>
      <c r="C12" s="7" t="n">
        <v>100</v>
      </c>
    </row>
    <row r="13" customFormat="false" ht="21.75" hidden="false" customHeight="true" outlineLevel="0" collapsed="false">
      <c r="B13" s="4" t="s">
        <v>157</v>
      </c>
      <c r="C13" s="9" t="n">
        <v>9.21463782719653E-013</v>
      </c>
    </row>
    <row r="14" customFormat="false" ht="21.75" hidden="false" customHeight="true" outlineLevel="0" collapsed="false">
      <c r="B14" s="5" t="s">
        <v>158</v>
      </c>
      <c r="C14" s="10" t="n">
        <v>-1.20355217296518E+031</v>
      </c>
    </row>
    <row r="17" customFormat="false" ht="15" hidden="false" customHeight="false" outlineLevel="0" collapsed="false">
      <c r="B17" s="8" t="s">
        <v>159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90"/>
  </cols>
  <sheetData>
    <row r="2" customFormat="false" ht="31.5" hidden="false" customHeight="true" outlineLevel="0" collapsed="false">
      <c r="B2" s="2" t="s">
        <v>160</v>
      </c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161</v>
      </c>
      <c r="C4" s="3" t="s">
        <v>162</v>
      </c>
      <c r="D4" s="3" t="s">
        <v>163</v>
      </c>
    </row>
    <row r="5" customFormat="false" ht="21.75" hidden="false" customHeight="true" outlineLevel="0" collapsed="false">
      <c r="B5" s="4" t="s">
        <v>164</v>
      </c>
      <c r="C5" s="4" t="s">
        <v>165</v>
      </c>
      <c r="D5" s="4" t="s">
        <v>166</v>
      </c>
    </row>
    <row r="6" customFormat="false" ht="21.75" hidden="false" customHeight="true" outlineLevel="0" collapsed="false">
      <c r="B6" s="5" t="s">
        <v>167</v>
      </c>
      <c r="C6" s="5" t="s">
        <v>168</v>
      </c>
      <c r="D6" s="5" t="s">
        <v>169</v>
      </c>
    </row>
    <row r="7" customFormat="false" ht="21.75" hidden="false" customHeight="true" outlineLevel="0" collapsed="false">
      <c r="B7" s="4" t="s">
        <v>170</v>
      </c>
      <c r="C7" s="4" t="s">
        <v>165</v>
      </c>
      <c r="D7" s="4" t="s">
        <v>171</v>
      </c>
    </row>
    <row r="8" customFormat="false" ht="21.75" hidden="false" customHeight="true" outlineLevel="0" collapsed="false">
      <c r="B8" s="5" t="s">
        <v>172</v>
      </c>
      <c r="C8" s="5" t="s">
        <v>168</v>
      </c>
      <c r="D8" s="5" t="s">
        <v>173</v>
      </c>
    </row>
    <row r="9" customFormat="false" ht="21.75" hidden="false" customHeight="true" outlineLevel="0" collapsed="false">
      <c r="B9" s="4" t="s">
        <v>174</v>
      </c>
      <c r="C9" s="4" t="s">
        <v>175</v>
      </c>
      <c r="D9" s="4" t="s">
        <v>176</v>
      </c>
    </row>
    <row r="10" customFormat="false" ht="21.75" hidden="false" customHeight="true" outlineLevel="0" collapsed="false">
      <c r="B10" s="5" t="s">
        <v>177</v>
      </c>
      <c r="C10" s="5" t="s">
        <v>175</v>
      </c>
      <c r="D10" s="5" t="s">
        <v>178</v>
      </c>
    </row>
    <row r="11" customFormat="false" ht="21.75" hidden="false" customHeight="true" outlineLevel="0" collapsed="false">
      <c r="B11" s="4" t="s">
        <v>179</v>
      </c>
      <c r="C11" s="4" t="s">
        <v>165</v>
      </c>
      <c r="D11" s="4" t="s">
        <v>180</v>
      </c>
    </row>
    <row r="12" customFormat="false" ht="21.75" hidden="false" customHeight="true" outlineLevel="0" collapsed="false">
      <c r="B12" s="5" t="s">
        <v>181</v>
      </c>
      <c r="C12" s="5" t="s">
        <v>168</v>
      </c>
      <c r="D12" s="5" t="s">
        <v>182</v>
      </c>
    </row>
    <row r="13" customFormat="false" ht="21.75" hidden="false" customHeight="true" outlineLevel="0" collapsed="false">
      <c r="B13" s="4" t="s">
        <v>183</v>
      </c>
      <c r="C13" s="4" t="s">
        <v>168</v>
      </c>
      <c r="D13" s="4" t="s">
        <v>184</v>
      </c>
    </row>
    <row r="14" customFormat="false" ht="21.75" hidden="false" customHeight="true" outlineLevel="0" collapsed="false">
      <c r="B14" s="5" t="s">
        <v>185</v>
      </c>
      <c r="C14" s="5" t="s">
        <v>168</v>
      </c>
      <c r="D14" s="5" t="s">
        <v>186</v>
      </c>
    </row>
    <row r="15" customFormat="false" ht="21.75" hidden="false" customHeight="true" outlineLevel="0" collapsed="false">
      <c r="B15" s="4" t="s">
        <v>187</v>
      </c>
      <c r="C15" s="4" t="s">
        <v>165</v>
      </c>
      <c r="D15" s="4" t="s">
        <v>188</v>
      </c>
    </row>
    <row r="16" customFormat="false" ht="21.75" hidden="false" customHeight="true" outlineLevel="0" collapsed="false">
      <c r="B16" s="5" t="s">
        <v>189</v>
      </c>
      <c r="C16" s="5" t="s">
        <v>168</v>
      </c>
      <c r="D16" s="5" t="s">
        <v>190</v>
      </c>
    </row>
    <row r="17" customFormat="false" ht="21.75" hidden="false" customHeight="true" outlineLevel="0" collapsed="false">
      <c r="B17" s="4" t="s">
        <v>191</v>
      </c>
      <c r="C17" s="4" t="s">
        <v>168</v>
      </c>
      <c r="D17" s="4" t="s">
        <v>192</v>
      </c>
    </row>
    <row r="18" customFormat="false" ht="21.75" hidden="false" customHeight="true" outlineLevel="0" collapsed="false">
      <c r="B18" s="5" t="s">
        <v>193</v>
      </c>
      <c r="C18" s="5" t="s">
        <v>165</v>
      </c>
      <c r="D18" s="5" t="s">
        <v>194</v>
      </c>
    </row>
    <row r="19" customFormat="false" ht="21.75" hidden="false" customHeight="true" outlineLevel="0" collapsed="false">
      <c r="B19" s="4" t="s">
        <v>195</v>
      </c>
      <c r="C19" s="4" t="s">
        <v>175</v>
      </c>
      <c r="D19" s="4" t="s">
        <v>196</v>
      </c>
    </row>
    <row r="22" customFormat="false" ht="15" hidden="false" customHeight="false" outlineLevel="0" collapsed="false">
      <c r="B22" s="8" t="s">
        <v>197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5" min="4" style="1" width="55"/>
    <col collapsed="false" customWidth="true" hidden="false" outlineLevel="0" max="6" min="6" style="1" width="34"/>
  </cols>
  <sheetData>
    <row r="2" customFormat="false" ht="31.5" hidden="false" customHeight="true" outlineLevel="0" collapsed="false">
      <c r="B2" s="2" t="s">
        <v>198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161</v>
      </c>
      <c r="C4" s="3" t="s">
        <v>162</v>
      </c>
      <c r="D4" s="3" t="s">
        <v>199</v>
      </c>
      <c r="E4" s="3" t="s">
        <v>200</v>
      </c>
      <c r="F4" s="3" t="s">
        <v>201</v>
      </c>
    </row>
    <row r="5" customFormat="false" ht="21.75" hidden="false" customHeight="true" outlineLevel="0" collapsed="false">
      <c r="B5" s="4" t="s">
        <v>164</v>
      </c>
      <c r="C5" s="4" t="s">
        <v>165</v>
      </c>
      <c r="D5" s="4" t="s">
        <v>166</v>
      </c>
      <c r="E5" s="4" t="s">
        <v>202</v>
      </c>
      <c r="F5" s="4" t="s">
        <v>203</v>
      </c>
    </row>
    <row r="6" customFormat="false" ht="21.75" hidden="false" customHeight="true" outlineLevel="0" collapsed="false">
      <c r="B6" s="5" t="s">
        <v>167</v>
      </c>
      <c r="C6" s="5" t="s">
        <v>168</v>
      </c>
      <c r="D6" s="5" t="s">
        <v>169</v>
      </c>
      <c r="E6" s="5" t="s">
        <v>204</v>
      </c>
      <c r="F6" s="5" t="s">
        <v>205</v>
      </c>
    </row>
    <row r="7" customFormat="false" ht="21.75" hidden="false" customHeight="true" outlineLevel="0" collapsed="false">
      <c r="B7" s="4" t="s">
        <v>170</v>
      </c>
      <c r="C7" s="4" t="s">
        <v>165</v>
      </c>
      <c r="D7" s="4" t="s">
        <v>171</v>
      </c>
      <c r="E7" s="4" t="s">
        <v>206</v>
      </c>
      <c r="F7" s="4" t="s">
        <v>207</v>
      </c>
    </row>
    <row r="8" customFormat="false" ht="21.75" hidden="false" customHeight="true" outlineLevel="0" collapsed="false">
      <c r="B8" s="5" t="s">
        <v>172</v>
      </c>
      <c r="C8" s="5" t="s">
        <v>168</v>
      </c>
      <c r="D8" s="5" t="s">
        <v>173</v>
      </c>
      <c r="E8" s="5" t="s">
        <v>208</v>
      </c>
      <c r="F8" s="5" t="s">
        <v>209</v>
      </c>
    </row>
    <row r="9" customFormat="false" ht="21.75" hidden="false" customHeight="true" outlineLevel="0" collapsed="false">
      <c r="B9" s="4" t="s">
        <v>174</v>
      </c>
      <c r="C9" s="4" t="s">
        <v>175</v>
      </c>
      <c r="D9" s="4" t="s">
        <v>176</v>
      </c>
      <c r="E9" s="4" t="s">
        <v>210</v>
      </c>
      <c r="F9" s="4" t="s">
        <v>211</v>
      </c>
    </row>
    <row r="10" customFormat="false" ht="21.75" hidden="false" customHeight="true" outlineLevel="0" collapsed="false">
      <c r="B10" s="5" t="s">
        <v>177</v>
      </c>
      <c r="C10" s="5" t="s">
        <v>175</v>
      </c>
      <c r="D10" s="5" t="s">
        <v>178</v>
      </c>
      <c r="E10" s="5" t="s">
        <v>212</v>
      </c>
      <c r="F10" s="5" t="s">
        <v>213</v>
      </c>
    </row>
    <row r="11" customFormat="false" ht="21.75" hidden="false" customHeight="true" outlineLevel="0" collapsed="false">
      <c r="B11" s="4" t="s">
        <v>179</v>
      </c>
      <c r="C11" s="4" t="s">
        <v>165</v>
      </c>
      <c r="D11" s="4" t="s">
        <v>180</v>
      </c>
      <c r="E11" s="4" t="s">
        <v>214</v>
      </c>
      <c r="F11" s="4" t="s">
        <v>215</v>
      </c>
    </row>
    <row r="12" customFormat="false" ht="21.75" hidden="false" customHeight="true" outlineLevel="0" collapsed="false">
      <c r="B12" s="5" t="s">
        <v>181</v>
      </c>
      <c r="C12" s="5" t="s">
        <v>168</v>
      </c>
      <c r="D12" s="5" t="s">
        <v>182</v>
      </c>
      <c r="E12" s="5" t="s">
        <v>216</v>
      </c>
      <c r="F12" s="5" t="s">
        <v>217</v>
      </c>
    </row>
    <row r="13" customFormat="false" ht="21.75" hidden="false" customHeight="true" outlineLevel="0" collapsed="false">
      <c r="B13" s="4" t="s">
        <v>183</v>
      </c>
      <c r="C13" s="4" t="s">
        <v>168</v>
      </c>
      <c r="D13" s="4" t="s">
        <v>184</v>
      </c>
      <c r="E13" s="4" t="s">
        <v>218</v>
      </c>
      <c r="F13" s="4" t="s">
        <v>219</v>
      </c>
    </row>
    <row r="14" customFormat="false" ht="21.75" hidden="false" customHeight="true" outlineLevel="0" collapsed="false">
      <c r="B14" s="5" t="s">
        <v>185</v>
      </c>
      <c r="C14" s="5" t="s">
        <v>168</v>
      </c>
      <c r="D14" s="5" t="s">
        <v>186</v>
      </c>
      <c r="E14" s="5" t="s">
        <v>220</v>
      </c>
      <c r="F14" s="5" t="s">
        <v>221</v>
      </c>
    </row>
    <row r="15" customFormat="false" ht="21.75" hidden="false" customHeight="true" outlineLevel="0" collapsed="false">
      <c r="B15" s="4" t="s">
        <v>187</v>
      </c>
      <c r="C15" s="4" t="s">
        <v>165</v>
      </c>
      <c r="D15" s="4" t="s">
        <v>188</v>
      </c>
      <c r="E15" s="4" t="s">
        <v>222</v>
      </c>
      <c r="F15" s="4" t="s">
        <v>223</v>
      </c>
    </row>
    <row r="16" customFormat="false" ht="21.75" hidden="false" customHeight="true" outlineLevel="0" collapsed="false">
      <c r="B16" s="5" t="s">
        <v>189</v>
      </c>
      <c r="C16" s="5" t="s">
        <v>168</v>
      </c>
      <c r="D16" s="5" t="s">
        <v>190</v>
      </c>
      <c r="E16" s="5" t="s">
        <v>224</v>
      </c>
      <c r="F16" s="5" t="s">
        <v>225</v>
      </c>
    </row>
    <row r="17" customFormat="false" ht="21.75" hidden="false" customHeight="true" outlineLevel="0" collapsed="false">
      <c r="B17" s="4" t="s">
        <v>191</v>
      </c>
      <c r="C17" s="4" t="s">
        <v>168</v>
      </c>
      <c r="D17" s="4" t="s">
        <v>192</v>
      </c>
      <c r="E17" s="4" t="s">
        <v>226</v>
      </c>
      <c r="F17" s="4" t="s">
        <v>227</v>
      </c>
    </row>
    <row r="18" customFormat="false" ht="21.75" hidden="false" customHeight="true" outlineLevel="0" collapsed="false">
      <c r="B18" s="5" t="s">
        <v>193</v>
      </c>
      <c r="C18" s="5" t="s">
        <v>165</v>
      </c>
      <c r="D18" s="5" t="s">
        <v>194</v>
      </c>
      <c r="E18" s="5" t="s">
        <v>228</v>
      </c>
      <c r="F18" s="5" t="s">
        <v>229</v>
      </c>
    </row>
    <row r="19" customFormat="false" ht="21.75" hidden="false" customHeight="true" outlineLevel="0" collapsed="false">
      <c r="B19" s="4" t="s">
        <v>195</v>
      </c>
      <c r="C19" s="4" t="s">
        <v>175</v>
      </c>
      <c r="D19" s="4" t="s">
        <v>196</v>
      </c>
      <c r="E19" s="4" t="s">
        <v>230</v>
      </c>
      <c r="F19" s="4" t="s">
        <v>231</v>
      </c>
    </row>
    <row r="20" customFormat="false" ht="21.75" hidden="false" customHeight="true" outlineLevel="0" collapsed="false">
      <c r="B20" s="5" t="s">
        <v>232</v>
      </c>
      <c r="C20" s="5" t="s">
        <v>168</v>
      </c>
      <c r="D20" s="5" t="s">
        <v>233</v>
      </c>
      <c r="E20" s="5" t="s">
        <v>234</v>
      </c>
      <c r="F20" s="5" t="s">
        <v>235</v>
      </c>
    </row>
    <row r="21" customFormat="false" ht="21.75" hidden="false" customHeight="true" outlineLevel="0" collapsed="false">
      <c r="B21" s="4" t="s">
        <v>236</v>
      </c>
      <c r="C21" s="4" t="s">
        <v>175</v>
      </c>
      <c r="D21" s="4" t="s">
        <v>237</v>
      </c>
      <c r="E21" s="4" t="s">
        <v>238</v>
      </c>
      <c r="F21" s="4" t="s">
        <v>239</v>
      </c>
    </row>
    <row r="22" customFormat="false" ht="21.75" hidden="false" customHeight="true" outlineLevel="0" collapsed="false">
      <c r="B22" s="5" t="s">
        <v>240</v>
      </c>
      <c r="C22" s="5" t="s">
        <v>175</v>
      </c>
      <c r="D22" s="5" t="s">
        <v>241</v>
      </c>
      <c r="E22" s="5" t="s">
        <v>242</v>
      </c>
      <c r="F22" s="5" t="s">
        <v>243</v>
      </c>
    </row>
    <row r="23" customFormat="false" ht="21.75" hidden="false" customHeight="true" outlineLevel="0" collapsed="false">
      <c r="B23" s="4" t="s">
        <v>244</v>
      </c>
      <c r="C23" s="4" t="s">
        <v>168</v>
      </c>
      <c r="D23" s="4" t="s">
        <v>245</v>
      </c>
      <c r="E23" s="4" t="s">
        <v>246</v>
      </c>
      <c r="F23" s="4" t="s">
        <v>247</v>
      </c>
    </row>
    <row r="24" customFormat="false" ht="21.75" hidden="false" customHeight="true" outlineLevel="0" collapsed="false">
      <c r="B24" s="5" t="s">
        <v>248</v>
      </c>
      <c r="C24" s="5" t="s">
        <v>175</v>
      </c>
      <c r="D24" s="5" t="s">
        <v>249</v>
      </c>
      <c r="E24" s="5" t="s">
        <v>250</v>
      </c>
      <c r="F24" s="5" t="s">
        <v>251</v>
      </c>
    </row>
    <row r="25" customFormat="false" ht="21.75" hidden="false" customHeight="true" outlineLevel="0" collapsed="false">
      <c r="B25" s="4" t="s">
        <v>252</v>
      </c>
      <c r="C25" s="4" t="s">
        <v>168</v>
      </c>
      <c r="D25" s="4" t="s">
        <v>253</v>
      </c>
      <c r="E25" s="4" t="s">
        <v>254</v>
      </c>
      <c r="F25" s="4" t="s">
        <v>255</v>
      </c>
    </row>
    <row r="26" customFormat="false" ht="21.75" hidden="false" customHeight="true" outlineLevel="0" collapsed="false">
      <c r="B26" s="5" t="s">
        <v>256</v>
      </c>
      <c r="C26" s="5" t="s">
        <v>168</v>
      </c>
      <c r="D26" s="5" t="s">
        <v>257</v>
      </c>
      <c r="E26" s="5" t="s">
        <v>258</v>
      </c>
      <c r="F26" s="5" t="s">
        <v>259</v>
      </c>
    </row>
    <row r="27" customFormat="false" ht="21.75" hidden="false" customHeight="true" outlineLevel="0" collapsed="false">
      <c r="B27" s="4" t="s">
        <v>260</v>
      </c>
      <c r="C27" s="4" t="s">
        <v>165</v>
      </c>
      <c r="D27" s="4" t="s">
        <v>261</v>
      </c>
      <c r="E27" s="4" t="s">
        <v>262</v>
      </c>
      <c r="F27" s="4" t="s">
        <v>263</v>
      </c>
    </row>
    <row r="28" customFormat="false" ht="21.75" hidden="false" customHeight="true" outlineLevel="0" collapsed="false">
      <c r="B28" s="5" t="s">
        <v>264</v>
      </c>
      <c r="C28" s="5" t="s">
        <v>175</v>
      </c>
      <c r="D28" s="5" t="s">
        <v>265</v>
      </c>
      <c r="E28" s="5" t="s">
        <v>266</v>
      </c>
      <c r="F28" s="5" t="s">
        <v>267</v>
      </c>
    </row>
    <row r="29" customFormat="false" ht="21.75" hidden="false" customHeight="true" outlineLevel="0" collapsed="false">
      <c r="B29" s="4" t="s">
        <v>268</v>
      </c>
      <c r="C29" s="4" t="s">
        <v>168</v>
      </c>
      <c r="D29" s="4" t="s">
        <v>269</v>
      </c>
      <c r="E29" s="4" t="s">
        <v>270</v>
      </c>
      <c r="F29" s="4" t="s">
        <v>271</v>
      </c>
    </row>
    <row r="30" customFormat="false" ht="21.75" hidden="false" customHeight="true" outlineLevel="0" collapsed="false">
      <c r="B30" s="5" t="s">
        <v>272</v>
      </c>
      <c r="C30" s="5" t="s">
        <v>175</v>
      </c>
      <c r="D30" s="5" t="s">
        <v>273</v>
      </c>
      <c r="E30" s="5" t="s">
        <v>274</v>
      </c>
      <c r="F30" s="5" t="s">
        <v>275</v>
      </c>
    </row>
    <row r="31" customFormat="false" ht="21.75" hidden="false" customHeight="true" outlineLevel="0" collapsed="false">
      <c r="B31" s="4" t="s">
        <v>276</v>
      </c>
      <c r="C31" s="4" t="s">
        <v>277</v>
      </c>
      <c r="D31" s="4" t="s">
        <v>278</v>
      </c>
      <c r="E31" s="4" t="s">
        <v>279</v>
      </c>
      <c r="F31" s="4" t="s">
        <v>280</v>
      </c>
    </row>
    <row r="32" customFormat="false" ht="21.75" hidden="false" customHeight="true" outlineLevel="0" collapsed="false">
      <c r="B32" s="5" t="s">
        <v>281</v>
      </c>
      <c r="C32" s="5" t="s">
        <v>282</v>
      </c>
      <c r="D32" s="5" t="s">
        <v>283</v>
      </c>
      <c r="E32" s="5" t="s">
        <v>284</v>
      </c>
      <c r="F32" s="5" t="s">
        <v>285</v>
      </c>
    </row>
    <row r="33" customFormat="false" ht="21.75" hidden="false" customHeight="true" outlineLevel="0" collapsed="false">
      <c r="B33" s="4" t="s">
        <v>286</v>
      </c>
      <c r="C33" s="4" t="s">
        <v>165</v>
      </c>
      <c r="D33" s="4" t="s">
        <v>287</v>
      </c>
      <c r="E33" s="4" t="s">
        <v>288</v>
      </c>
      <c r="F33" s="4" t="s">
        <v>289</v>
      </c>
    </row>
    <row r="34" customFormat="false" ht="21.75" hidden="false" customHeight="true" outlineLevel="0" collapsed="false">
      <c r="B34" s="5" t="s">
        <v>290</v>
      </c>
      <c r="C34" s="5" t="s">
        <v>175</v>
      </c>
      <c r="D34" s="5" t="s">
        <v>291</v>
      </c>
      <c r="E34" s="5" t="s">
        <v>292</v>
      </c>
      <c r="F34" s="5" t="s">
        <v>293</v>
      </c>
    </row>
    <row r="37" customFormat="false" ht="15" hidden="false" customHeight="false" outlineLevel="0" collapsed="false">
      <c r="B37" s="8" t="s">
        <v>294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00"/>
  </cols>
  <sheetData>
    <row r="2" customFormat="false" ht="31.5" hidden="false" customHeight="true" outlineLevel="0" collapsed="false">
      <c r="B2" s="2" t="s">
        <v>295</v>
      </c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296</v>
      </c>
      <c r="C4" s="3" t="s">
        <v>297</v>
      </c>
      <c r="D4" s="3" t="s">
        <v>298</v>
      </c>
    </row>
    <row r="5" customFormat="false" ht="21.75" hidden="false" customHeight="true" outlineLevel="0" collapsed="false">
      <c r="B5" s="4" t="s">
        <v>299</v>
      </c>
      <c r="C5" s="4" t="s">
        <v>297</v>
      </c>
      <c r="D5" s="4" t="s">
        <v>300</v>
      </c>
    </row>
    <row r="6" customFormat="false" ht="21.75" hidden="false" customHeight="true" outlineLevel="0" collapsed="false">
      <c r="B6" s="5" t="s">
        <v>301</v>
      </c>
      <c r="C6" s="5" t="s">
        <v>297</v>
      </c>
      <c r="D6" s="5" t="s">
        <v>302</v>
      </c>
    </row>
    <row r="7" customFormat="false" ht="21.75" hidden="false" customHeight="true" outlineLevel="0" collapsed="false">
      <c r="B7" s="4" t="s">
        <v>303</v>
      </c>
      <c r="C7" s="4" t="s">
        <v>297</v>
      </c>
      <c r="D7" s="4" t="s">
        <v>304</v>
      </c>
    </row>
    <row r="8" customFormat="false" ht="21.75" hidden="false" customHeight="true" outlineLevel="0" collapsed="false">
      <c r="B8" s="5" t="s">
        <v>305</v>
      </c>
      <c r="C8" s="5" t="s">
        <v>297</v>
      </c>
      <c r="D8" s="5" t="s">
        <v>306</v>
      </c>
    </row>
    <row r="9" customFormat="false" ht="21.75" hidden="false" customHeight="true" outlineLevel="0" collapsed="false">
      <c r="B9" s="4" t="s">
        <v>307</v>
      </c>
      <c r="C9" s="4" t="s">
        <v>297</v>
      </c>
      <c r="D9" s="4" t="s">
        <v>308</v>
      </c>
    </row>
    <row r="10" customFormat="false" ht="21.75" hidden="false" customHeight="true" outlineLevel="0" collapsed="false">
      <c r="B10" s="5" t="s">
        <v>309</v>
      </c>
      <c r="C10" s="5" t="s">
        <v>297</v>
      </c>
      <c r="D10" s="5" t="s">
        <v>310</v>
      </c>
    </row>
    <row r="11" customFormat="false" ht="21.75" hidden="false" customHeight="true" outlineLevel="0" collapsed="false">
      <c r="B11" s="4" t="s">
        <v>311</v>
      </c>
      <c r="C11" s="4" t="s">
        <v>297</v>
      </c>
      <c r="D11" s="4" t="s">
        <v>312</v>
      </c>
    </row>
    <row r="12" customFormat="false" ht="21.75" hidden="false" customHeight="true" outlineLevel="0" collapsed="false">
      <c r="B12" s="5" t="s">
        <v>313</v>
      </c>
      <c r="C12" s="5" t="s">
        <v>297</v>
      </c>
      <c r="D12" s="5" t="s">
        <v>314</v>
      </c>
    </row>
    <row r="13" customFormat="false" ht="21.75" hidden="false" customHeight="true" outlineLevel="0" collapsed="false">
      <c r="B13" s="4" t="s">
        <v>315</v>
      </c>
      <c r="C13" s="4" t="s">
        <v>297</v>
      </c>
      <c r="D13" s="4" t="s">
        <v>316</v>
      </c>
    </row>
    <row r="14" customFormat="false" ht="21.75" hidden="false" customHeight="true" outlineLevel="0" collapsed="false">
      <c r="B14" s="5" t="s">
        <v>317</v>
      </c>
      <c r="C14" s="5" t="s">
        <v>297</v>
      </c>
      <c r="D14" s="5" t="s">
        <v>318</v>
      </c>
    </row>
    <row r="15" customFormat="false" ht="21.75" hidden="false" customHeight="true" outlineLevel="0" collapsed="false">
      <c r="B15" s="4" t="s">
        <v>319</v>
      </c>
      <c r="C15" s="4" t="s">
        <v>297</v>
      </c>
      <c r="D15" s="4" t="s">
        <v>320</v>
      </c>
    </row>
    <row r="16" customFormat="false" ht="21.75" hidden="false" customHeight="true" outlineLevel="0" collapsed="false">
      <c r="B16" s="5" t="s">
        <v>321</v>
      </c>
      <c r="C16" s="5" t="s">
        <v>297</v>
      </c>
      <c r="D16" s="5" t="s">
        <v>322</v>
      </c>
    </row>
    <row r="19" customFormat="false" ht="15" hidden="false" customHeight="false" outlineLevel="0" collapsed="false">
      <c r="B19" s="8" t="s">
        <v>323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1.5" hidden="false" customHeight="true" outlineLevel="0" collapsed="false">
      <c r="B2" s="2" t="s">
        <v>324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325</v>
      </c>
      <c r="C4" s="3" t="s">
        <v>2</v>
      </c>
    </row>
    <row r="5" customFormat="false" ht="21.75" hidden="false" customHeight="true" outlineLevel="0" collapsed="false">
      <c r="B5" s="4" t="s">
        <v>326</v>
      </c>
      <c r="C5" s="4" t="s">
        <v>327</v>
      </c>
    </row>
    <row r="6" customFormat="false" ht="21.75" hidden="false" customHeight="true" outlineLevel="0" collapsed="false">
      <c r="B6" s="5" t="s">
        <v>328</v>
      </c>
      <c r="C6" s="5" t="s">
        <v>329</v>
      </c>
    </row>
    <row r="7" customFormat="false" ht="21.75" hidden="false" customHeight="true" outlineLevel="0" collapsed="false">
      <c r="B7" s="4" t="s">
        <v>330</v>
      </c>
      <c r="C7" s="4" t="s">
        <v>331</v>
      </c>
    </row>
    <row r="8" customFormat="false" ht="21.75" hidden="false" customHeight="true" outlineLevel="0" collapsed="false">
      <c r="B8" s="5" t="s">
        <v>332</v>
      </c>
      <c r="C8" s="5" t="s">
        <v>333</v>
      </c>
    </row>
    <row r="9" customFormat="false" ht="21.75" hidden="false" customHeight="true" outlineLevel="0" collapsed="false">
      <c r="B9" s="4" t="s">
        <v>334</v>
      </c>
      <c r="C9" s="4" t="s">
        <v>335</v>
      </c>
    </row>
    <row r="10" customFormat="false" ht="21.75" hidden="false" customHeight="true" outlineLevel="0" collapsed="false">
      <c r="B10" s="5" t="s">
        <v>336</v>
      </c>
      <c r="C10" s="5" t="s">
        <v>337</v>
      </c>
    </row>
    <row r="11" customFormat="false" ht="21.75" hidden="false" customHeight="true" outlineLevel="0" collapsed="false">
      <c r="B11" s="4" t="s">
        <v>338</v>
      </c>
      <c r="C11" s="4" t="s">
        <v>339</v>
      </c>
    </row>
    <row r="12" customFormat="false" ht="21.75" hidden="false" customHeight="true" outlineLevel="0" collapsed="false">
      <c r="B12" s="5" t="s">
        <v>340</v>
      </c>
      <c r="C12" s="5" t="s">
        <v>19</v>
      </c>
    </row>
    <row r="13" customFormat="false" ht="21.75" hidden="false" customHeight="true" outlineLevel="0" collapsed="false">
      <c r="B13" s="4" t="s">
        <v>341</v>
      </c>
      <c r="C13" s="4" t="s">
        <v>342</v>
      </c>
    </row>
    <row r="14" customFormat="false" ht="21.75" hidden="false" customHeight="true" outlineLevel="0" collapsed="false">
      <c r="B14" s="5" t="s">
        <v>343</v>
      </c>
      <c r="C14" s="5" t="s">
        <v>344</v>
      </c>
    </row>
    <row r="15" customFormat="false" ht="21.75" hidden="false" customHeight="true" outlineLevel="0" collapsed="false">
      <c r="B15" s="4" t="s">
        <v>345</v>
      </c>
      <c r="C15" s="4" t="s">
        <v>339</v>
      </c>
    </row>
    <row r="16" customFormat="false" ht="21.75" hidden="false" customHeight="true" outlineLevel="0" collapsed="false">
      <c r="B16" s="5" t="s">
        <v>346</v>
      </c>
      <c r="C16" s="5" t="s">
        <v>339</v>
      </c>
    </row>
    <row r="17" customFormat="false" ht="21.75" hidden="false" customHeight="true" outlineLevel="0" collapsed="false">
      <c r="B17" s="4" t="s">
        <v>347</v>
      </c>
      <c r="C17" s="4" t="s">
        <v>348</v>
      </c>
    </row>
    <row r="18" customFormat="false" ht="21.75" hidden="false" customHeight="true" outlineLevel="0" collapsed="false">
      <c r="B18" s="5" t="s">
        <v>349</v>
      </c>
      <c r="C18" s="5" t="s">
        <v>339</v>
      </c>
    </row>
    <row r="19" customFormat="false" ht="21.75" hidden="false" customHeight="true" outlineLevel="0" collapsed="false">
      <c r="B19" s="4" t="s">
        <v>350</v>
      </c>
      <c r="C19" s="4" t="s">
        <v>351</v>
      </c>
    </row>
    <row r="20" customFormat="false" ht="21.75" hidden="false" customHeight="true" outlineLevel="0" collapsed="false">
      <c r="B20" s="5" t="s">
        <v>352</v>
      </c>
      <c r="C20" s="5" t="s">
        <v>339</v>
      </c>
    </row>
    <row r="21" customFormat="false" ht="21.75" hidden="false" customHeight="true" outlineLevel="0" collapsed="false">
      <c r="B21" s="4" t="s">
        <v>341</v>
      </c>
      <c r="C21" s="4" t="s">
        <v>342</v>
      </c>
    </row>
    <row r="22" customFormat="false" ht="21.75" hidden="false" customHeight="true" outlineLevel="0" collapsed="false">
      <c r="B22" s="5" t="s">
        <v>353</v>
      </c>
      <c r="C22" s="5" t="s">
        <v>339</v>
      </c>
    </row>
    <row r="23" customFormat="false" ht="21.75" hidden="false" customHeight="true" outlineLevel="0" collapsed="false">
      <c r="B23" s="4" t="s">
        <v>343</v>
      </c>
      <c r="C23" s="4" t="s">
        <v>344</v>
      </c>
    </row>
    <row r="24" customFormat="false" ht="21.75" hidden="false" customHeight="true" outlineLevel="0" collapsed="false">
      <c r="B24" s="5" t="s">
        <v>354</v>
      </c>
      <c r="C24" s="5" t="s">
        <v>339</v>
      </c>
    </row>
    <row r="27" customFormat="false" ht="15" hidden="false" customHeight="false" outlineLevel="0" collapsed="false">
      <c r="B27" s="8" t="s">
        <v>355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95"/>
  </cols>
  <sheetData>
    <row r="2" customFormat="false" ht="31.5" hidden="false" customHeight="true" outlineLevel="0" collapsed="false">
      <c r="B2" s="2" t="s">
        <v>356</v>
      </c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161</v>
      </c>
      <c r="C4" s="3" t="s">
        <v>162</v>
      </c>
      <c r="D4" s="3" t="s">
        <v>199</v>
      </c>
    </row>
    <row r="5" customFormat="false" ht="21.75" hidden="false" customHeight="true" outlineLevel="0" collapsed="false">
      <c r="B5" s="4" t="s">
        <v>174</v>
      </c>
      <c r="C5" s="4" t="s">
        <v>175</v>
      </c>
      <c r="D5" s="4" t="s">
        <v>176</v>
      </c>
    </row>
    <row r="6" customFormat="false" ht="21.75" hidden="false" customHeight="true" outlineLevel="0" collapsed="false">
      <c r="B6" s="5" t="s">
        <v>177</v>
      </c>
      <c r="C6" s="5" t="s">
        <v>175</v>
      </c>
      <c r="D6" s="5" t="s">
        <v>178</v>
      </c>
    </row>
    <row r="7" customFormat="false" ht="21.75" hidden="false" customHeight="true" outlineLevel="0" collapsed="false">
      <c r="B7" s="4" t="s">
        <v>195</v>
      </c>
      <c r="C7" s="4" t="s">
        <v>175</v>
      </c>
      <c r="D7" s="4" t="s">
        <v>196</v>
      </c>
    </row>
    <row r="8" customFormat="false" ht="21.75" hidden="false" customHeight="true" outlineLevel="0" collapsed="false">
      <c r="B8" s="5" t="s">
        <v>236</v>
      </c>
      <c r="C8" s="5" t="s">
        <v>175</v>
      </c>
      <c r="D8" s="5" t="s">
        <v>237</v>
      </c>
    </row>
    <row r="9" customFormat="false" ht="21.75" hidden="false" customHeight="true" outlineLevel="0" collapsed="false">
      <c r="B9" s="4" t="s">
        <v>240</v>
      </c>
      <c r="C9" s="4" t="s">
        <v>175</v>
      </c>
      <c r="D9" s="4" t="s">
        <v>241</v>
      </c>
    </row>
    <row r="10" customFormat="false" ht="21.75" hidden="false" customHeight="true" outlineLevel="0" collapsed="false">
      <c r="B10" s="5" t="s">
        <v>248</v>
      </c>
      <c r="C10" s="5" t="s">
        <v>175</v>
      </c>
      <c r="D10" s="5" t="s">
        <v>249</v>
      </c>
    </row>
    <row r="11" customFormat="false" ht="21.75" hidden="false" customHeight="true" outlineLevel="0" collapsed="false">
      <c r="B11" s="4" t="s">
        <v>264</v>
      </c>
      <c r="C11" s="4" t="s">
        <v>175</v>
      </c>
      <c r="D11" s="4" t="s">
        <v>265</v>
      </c>
    </row>
    <row r="12" customFormat="false" ht="21.75" hidden="false" customHeight="true" outlineLevel="0" collapsed="false">
      <c r="B12" s="5" t="s">
        <v>272</v>
      </c>
      <c r="C12" s="5" t="s">
        <v>175</v>
      </c>
      <c r="D12" s="5" t="s">
        <v>273</v>
      </c>
    </row>
    <row r="13" customFormat="false" ht="21.75" hidden="false" customHeight="true" outlineLevel="0" collapsed="false">
      <c r="B13" s="4" t="s">
        <v>281</v>
      </c>
      <c r="C13" s="4" t="s">
        <v>282</v>
      </c>
      <c r="D13" s="4" t="s">
        <v>283</v>
      </c>
    </row>
    <row r="14" customFormat="false" ht="21.75" hidden="false" customHeight="true" outlineLevel="0" collapsed="false">
      <c r="B14" s="5" t="s">
        <v>290</v>
      </c>
      <c r="C14" s="5" t="s">
        <v>175</v>
      </c>
      <c r="D14" s="5" t="s">
        <v>291</v>
      </c>
    </row>
    <row r="17" customFormat="false" ht="15" hidden="false" customHeight="false" outlineLevel="0" collapsed="false">
      <c r="B17" s="8" t="s">
        <v>357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18"/>
  </cols>
  <sheetData>
    <row r="2" customFormat="false" ht="31.5" hidden="false" customHeight="true" outlineLevel="0" collapsed="false">
      <c r="B2" s="2" t="s">
        <v>358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359</v>
      </c>
      <c r="C4" s="3" t="s">
        <v>360</v>
      </c>
      <c r="D4" s="3" t="s">
        <v>361</v>
      </c>
      <c r="E4" s="3" t="s">
        <v>362</v>
      </c>
    </row>
    <row r="5" customFormat="false" ht="21.75" hidden="false" customHeight="true" outlineLevel="0" collapsed="false">
      <c r="B5" s="6" t="n">
        <v>1</v>
      </c>
      <c r="C5" s="4" t="s">
        <v>363</v>
      </c>
      <c r="D5" s="4" t="s">
        <v>364</v>
      </c>
      <c r="E5" s="4" t="s">
        <v>165</v>
      </c>
    </row>
    <row r="6" customFormat="false" ht="21.75" hidden="false" customHeight="true" outlineLevel="0" collapsed="false">
      <c r="B6" s="7" t="n">
        <v>2</v>
      </c>
      <c r="C6" s="5" t="s">
        <v>365</v>
      </c>
      <c r="D6" s="5" t="s">
        <v>366</v>
      </c>
      <c r="E6" s="5" t="s">
        <v>168</v>
      </c>
    </row>
    <row r="7" customFormat="false" ht="21.75" hidden="false" customHeight="true" outlineLevel="0" collapsed="false">
      <c r="B7" s="6" t="n">
        <v>3</v>
      </c>
      <c r="C7" s="4" t="s">
        <v>367</v>
      </c>
      <c r="D7" s="4" t="s">
        <v>368</v>
      </c>
      <c r="E7" s="4" t="s">
        <v>168</v>
      </c>
    </row>
    <row r="8" customFormat="false" ht="21.75" hidden="false" customHeight="true" outlineLevel="0" collapsed="false">
      <c r="B8" s="7" t="n">
        <v>4</v>
      </c>
      <c r="C8" s="5" t="s">
        <v>369</v>
      </c>
      <c r="D8" s="5" t="s">
        <v>370</v>
      </c>
      <c r="E8" s="5" t="s">
        <v>165</v>
      </c>
    </row>
    <row r="9" customFormat="false" ht="21.75" hidden="false" customHeight="true" outlineLevel="0" collapsed="false">
      <c r="B9" s="6" t="n">
        <v>5</v>
      </c>
      <c r="C9" s="4" t="s">
        <v>371</v>
      </c>
      <c r="D9" s="4" t="s">
        <v>372</v>
      </c>
      <c r="E9" s="4" t="s">
        <v>175</v>
      </c>
    </row>
    <row r="10" customFormat="false" ht="21.75" hidden="false" customHeight="true" outlineLevel="0" collapsed="false">
      <c r="B10" s="7" t="n">
        <v>6</v>
      </c>
      <c r="C10" s="5" t="s">
        <v>373</v>
      </c>
      <c r="D10" s="5" t="s">
        <v>374</v>
      </c>
      <c r="E10" s="5" t="s">
        <v>175</v>
      </c>
    </row>
    <row r="11" customFormat="false" ht="21.75" hidden="false" customHeight="true" outlineLevel="0" collapsed="false">
      <c r="B11" s="6" t="n">
        <v>7</v>
      </c>
      <c r="C11" s="4" t="s">
        <v>375</v>
      </c>
      <c r="D11" s="4" t="s">
        <v>376</v>
      </c>
      <c r="E11" s="4" t="s">
        <v>165</v>
      </c>
    </row>
    <row r="12" customFormat="false" ht="21.75" hidden="false" customHeight="true" outlineLevel="0" collapsed="false">
      <c r="B12" s="7" t="n">
        <v>8</v>
      </c>
      <c r="C12" s="5" t="s">
        <v>377</v>
      </c>
      <c r="D12" s="5" t="s">
        <v>378</v>
      </c>
      <c r="E12" s="5" t="s">
        <v>168</v>
      </c>
    </row>
    <row r="13" customFormat="false" ht="21.75" hidden="false" customHeight="true" outlineLevel="0" collapsed="false">
      <c r="B13" s="6" t="n">
        <v>9</v>
      </c>
      <c r="C13" s="4" t="s">
        <v>379</v>
      </c>
      <c r="D13" s="4" t="s">
        <v>380</v>
      </c>
      <c r="E13" s="4" t="s">
        <v>168</v>
      </c>
    </row>
    <row r="14" customFormat="false" ht="21.75" hidden="false" customHeight="true" outlineLevel="0" collapsed="false">
      <c r="B14" s="7" t="n">
        <v>10</v>
      </c>
      <c r="C14" s="5" t="s">
        <v>381</v>
      </c>
      <c r="D14" s="5" t="s">
        <v>382</v>
      </c>
      <c r="E14" s="5" t="s">
        <v>168</v>
      </c>
    </row>
    <row r="15" customFormat="false" ht="21.75" hidden="false" customHeight="true" outlineLevel="0" collapsed="false">
      <c r="B15" s="6" t="n">
        <v>11</v>
      </c>
      <c r="C15" s="4" t="s">
        <v>383</v>
      </c>
      <c r="D15" s="4" t="s">
        <v>384</v>
      </c>
      <c r="E15" s="4" t="s">
        <v>168</v>
      </c>
    </row>
    <row r="16" customFormat="false" ht="21.75" hidden="false" customHeight="true" outlineLevel="0" collapsed="false">
      <c r="B16" s="7" t="n">
        <v>12</v>
      </c>
      <c r="C16" s="5" t="s">
        <v>385</v>
      </c>
      <c r="D16" s="5" t="s">
        <v>386</v>
      </c>
      <c r="E16" s="5" t="s">
        <v>168</v>
      </c>
    </row>
    <row r="17" customFormat="false" ht="21.75" hidden="false" customHeight="true" outlineLevel="0" collapsed="false">
      <c r="B17" s="6" t="n">
        <v>13</v>
      </c>
      <c r="C17" s="4" t="s">
        <v>387</v>
      </c>
      <c r="D17" s="4" t="s">
        <v>388</v>
      </c>
      <c r="E17" s="4" t="s">
        <v>165</v>
      </c>
    </row>
    <row r="18" customFormat="false" ht="21.75" hidden="false" customHeight="true" outlineLevel="0" collapsed="false">
      <c r="B18" s="7" t="n">
        <v>14</v>
      </c>
      <c r="C18" s="5" t="s">
        <v>389</v>
      </c>
      <c r="D18" s="5" t="s">
        <v>390</v>
      </c>
      <c r="E18" s="5" t="s">
        <v>165</v>
      </c>
    </row>
    <row r="19" customFormat="false" ht="21.75" hidden="false" customHeight="true" outlineLevel="0" collapsed="false">
      <c r="B19" s="6" t="n">
        <v>15</v>
      </c>
      <c r="C19" s="4" t="s">
        <v>391</v>
      </c>
      <c r="D19" s="4" t="s">
        <v>392</v>
      </c>
      <c r="E19" s="4" t="s">
        <v>165</v>
      </c>
    </row>
    <row r="22" customFormat="false" ht="15" hidden="false" customHeight="false" outlineLevel="0" collapsed="false">
      <c r="B22" s="8" t="s">
        <v>393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0"/>
  </cols>
  <sheetData>
    <row r="2" customFormat="false" ht="31.5" hidden="false" customHeight="true" outlineLevel="0" collapsed="false">
      <c r="B2" s="2" t="s">
        <v>394</v>
      </c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296</v>
      </c>
      <c r="C4" s="3" t="s">
        <v>395</v>
      </c>
      <c r="D4" s="3" t="s">
        <v>297</v>
      </c>
    </row>
    <row r="5" customFormat="false" ht="21.75" hidden="false" customHeight="true" outlineLevel="0" collapsed="false">
      <c r="B5" s="4" t="s">
        <v>396</v>
      </c>
      <c r="C5" s="4" t="s">
        <v>397</v>
      </c>
      <c r="D5" s="4" t="s">
        <v>297</v>
      </c>
    </row>
    <row r="6" customFormat="false" ht="21.75" hidden="false" customHeight="true" outlineLevel="0" collapsed="false">
      <c r="B6" s="5" t="s">
        <v>396</v>
      </c>
      <c r="C6" s="5" t="s">
        <v>398</v>
      </c>
      <c r="D6" s="5" t="s">
        <v>297</v>
      </c>
    </row>
    <row r="7" customFormat="false" ht="21.75" hidden="false" customHeight="true" outlineLevel="0" collapsed="false">
      <c r="B7" s="4" t="s">
        <v>396</v>
      </c>
      <c r="C7" s="4" t="s">
        <v>399</v>
      </c>
      <c r="D7" s="4" t="s">
        <v>297</v>
      </c>
    </row>
    <row r="8" customFormat="false" ht="21.75" hidden="false" customHeight="true" outlineLevel="0" collapsed="false">
      <c r="B8" s="5" t="s">
        <v>396</v>
      </c>
      <c r="C8" s="5" t="s">
        <v>400</v>
      </c>
      <c r="D8" s="5" t="s">
        <v>297</v>
      </c>
    </row>
    <row r="9" customFormat="false" ht="21.75" hidden="false" customHeight="true" outlineLevel="0" collapsed="false">
      <c r="B9" s="4" t="s">
        <v>396</v>
      </c>
      <c r="C9" s="4" t="s">
        <v>401</v>
      </c>
      <c r="D9" s="4" t="s">
        <v>297</v>
      </c>
    </row>
    <row r="10" customFormat="false" ht="21.75" hidden="false" customHeight="true" outlineLevel="0" collapsed="false">
      <c r="B10" s="5" t="s">
        <v>396</v>
      </c>
      <c r="C10" s="5" t="s">
        <v>402</v>
      </c>
      <c r="D10" s="5" t="s">
        <v>297</v>
      </c>
    </row>
    <row r="11" customFormat="false" ht="21.75" hidden="false" customHeight="true" outlineLevel="0" collapsed="false">
      <c r="B11" s="4" t="s">
        <v>396</v>
      </c>
      <c r="C11" s="4" t="s">
        <v>403</v>
      </c>
      <c r="D11" s="4" t="s">
        <v>297</v>
      </c>
    </row>
    <row r="12" customFormat="false" ht="21.75" hidden="false" customHeight="true" outlineLevel="0" collapsed="false">
      <c r="B12" s="5" t="s">
        <v>396</v>
      </c>
      <c r="C12" s="5" t="s">
        <v>404</v>
      </c>
      <c r="D12" s="5" t="s">
        <v>297</v>
      </c>
    </row>
    <row r="13" customFormat="false" ht="21.75" hidden="false" customHeight="true" outlineLevel="0" collapsed="false">
      <c r="B13" s="4" t="s">
        <v>396</v>
      </c>
      <c r="C13" s="4" t="s">
        <v>405</v>
      </c>
      <c r="D13" s="4" t="s">
        <v>297</v>
      </c>
    </row>
    <row r="14" customFormat="false" ht="21.75" hidden="false" customHeight="true" outlineLevel="0" collapsed="false">
      <c r="B14" s="5" t="s">
        <v>396</v>
      </c>
      <c r="C14" s="5" t="s">
        <v>406</v>
      </c>
      <c r="D14" s="5" t="s">
        <v>297</v>
      </c>
    </row>
    <row r="15" customFormat="false" ht="21.75" hidden="false" customHeight="true" outlineLevel="0" collapsed="false">
      <c r="B15" s="4" t="s">
        <v>396</v>
      </c>
      <c r="C15" s="4" t="s">
        <v>407</v>
      </c>
      <c r="D15" s="4" t="s">
        <v>297</v>
      </c>
    </row>
    <row r="16" customFormat="false" ht="21.75" hidden="false" customHeight="true" outlineLevel="0" collapsed="false">
      <c r="B16" s="5" t="s">
        <v>396</v>
      </c>
      <c r="C16" s="5" t="s">
        <v>408</v>
      </c>
      <c r="D16" s="5" t="s">
        <v>297</v>
      </c>
    </row>
    <row r="17" customFormat="false" ht="21.75" hidden="false" customHeight="true" outlineLevel="0" collapsed="false">
      <c r="B17" s="4" t="s">
        <v>396</v>
      </c>
      <c r="C17" s="4" t="s">
        <v>409</v>
      </c>
      <c r="D17" s="4" t="s">
        <v>297</v>
      </c>
    </row>
    <row r="18" customFormat="false" ht="21.75" hidden="false" customHeight="true" outlineLevel="0" collapsed="false">
      <c r="B18" s="5" t="s">
        <v>396</v>
      </c>
      <c r="C18" s="5" t="s">
        <v>410</v>
      </c>
      <c r="D18" s="5" t="s">
        <v>297</v>
      </c>
    </row>
    <row r="19" customFormat="false" ht="21.75" hidden="false" customHeight="true" outlineLevel="0" collapsed="false">
      <c r="B19" s="4" t="s">
        <v>411</v>
      </c>
      <c r="C19" s="4" t="s">
        <v>412</v>
      </c>
      <c r="D19" s="4" t="s">
        <v>297</v>
      </c>
    </row>
    <row r="20" customFormat="false" ht="21.75" hidden="false" customHeight="true" outlineLevel="0" collapsed="false">
      <c r="B20" s="5" t="s">
        <v>411</v>
      </c>
      <c r="C20" s="5" t="s">
        <v>413</v>
      </c>
      <c r="D20" s="5" t="s">
        <v>297</v>
      </c>
    </row>
    <row r="21" customFormat="false" ht="21.75" hidden="false" customHeight="true" outlineLevel="0" collapsed="false">
      <c r="B21" s="4" t="s">
        <v>411</v>
      </c>
      <c r="C21" s="4" t="s">
        <v>414</v>
      </c>
      <c r="D21" s="4" t="s">
        <v>297</v>
      </c>
    </row>
    <row r="22" customFormat="false" ht="21.75" hidden="false" customHeight="true" outlineLevel="0" collapsed="false">
      <c r="B22" s="5" t="s">
        <v>411</v>
      </c>
      <c r="C22" s="5" t="s">
        <v>415</v>
      </c>
      <c r="D22" s="5" t="s">
        <v>297</v>
      </c>
    </row>
    <row r="23" customFormat="false" ht="21.75" hidden="false" customHeight="true" outlineLevel="0" collapsed="false">
      <c r="B23" s="4" t="s">
        <v>411</v>
      </c>
      <c r="C23" s="4" t="s">
        <v>416</v>
      </c>
      <c r="D23" s="4" t="s">
        <v>297</v>
      </c>
    </row>
    <row r="24" customFormat="false" ht="21.75" hidden="false" customHeight="true" outlineLevel="0" collapsed="false">
      <c r="B24" s="5" t="s">
        <v>411</v>
      </c>
      <c r="C24" s="5" t="s">
        <v>417</v>
      </c>
      <c r="D24" s="5" t="s">
        <v>297</v>
      </c>
    </row>
    <row r="25" customFormat="false" ht="21.75" hidden="false" customHeight="true" outlineLevel="0" collapsed="false">
      <c r="B25" s="4" t="s">
        <v>411</v>
      </c>
      <c r="C25" s="4" t="s">
        <v>418</v>
      </c>
      <c r="D25" s="4" t="s">
        <v>297</v>
      </c>
    </row>
    <row r="26" customFormat="false" ht="21.75" hidden="false" customHeight="true" outlineLevel="0" collapsed="false">
      <c r="B26" s="5" t="s">
        <v>419</v>
      </c>
      <c r="C26" s="5" t="s">
        <v>420</v>
      </c>
      <c r="D26" s="5" t="s">
        <v>297</v>
      </c>
    </row>
    <row r="27" customFormat="false" ht="21.75" hidden="false" customHeight="true" outlineLevel="0" collapsed="false">
      <c r="B27" s="4" t="s">
        <v>419</v>
      </c>
      <c r="C27" s="4" t="s">
        <v>421</v>
      </c>
      <c r="D27" s="4" t="s">
        <v>297</v>
      </c>
    </row>
    <row r="28" customFormat="false" ht="21.75" hidden="false" customHeight="true" outlineLevel="0" collapsed="false">
      <c r="B28" s="5" t="s">
        <v>419</v>
      </c>
      <c r="C28" s="5" t="s">
        <v>422</v>
      </c>
      <c r="D28" s="5" t="s">
        <v>297</v>
      </c>
    </row>
    <row r="29" customFormat="false" ht="21.75" hidden="false" customHeight="true" outlineLevel="0" collapsed="false">
      <c r="B29" s="4" t="s">
        <v>419</v>
      </c>
      <c r="C29" s="4" t="s">
        <v>423</v>
      </c>
      <c r="D29" s="4" t="s">
        <v>297</v>
      </c>
    </row>
    <row r="30" customFormat="false" ht="21.75" hidden="false" customHeight="true" outlineLevel="0" collapsed="false">
      <c r="B30" s="5" t="s">
        <v>419</v>
      </c>
      <c r="C30" s="5" t="s">
        <v>424</v>
      </c>
      <c r="D30" s="5" t="s">
        <v>297</v>
      </c>
    </row>
    <row r="31" customFormat="false" ht="21.75" hidden="false" customHeight="true" outlineLevel="0" collapsed="false">
      <c r="B31" s="4" t="s">
        <v>419</v>
      </c>
      <c r="C31" s="4" t="s">
        <v>425</v>
      </c>
      <c r="D31" s="4" t="s">
        <v>297</v>
      </c>
    </row>
    <row r="32" customFormat="false" ht="21.75" hidden="false" customHeight="true" outlineLevel="0" collapsed="false">
      <c r="B32" s="5" t="s">
        <v>419</v>
      </c>
      <c r="C32" s="5" t="s">
        <v>426</v>
      </c>
      <c r="D32" s="5" t="s">
        <v>297</v>
      </c>
    </row>
    <row r="33" customFormat="false" ht="21.75" hidden="false" customHeight="true" outlineLevel="0" collapsed="false">
      <c r="B33" s="4" t="s">
        <v>419</v>
      </c>
      <c r="C33" s="4" t="s">
        <v>427</v>
      </c>
      <c r="D33" s="4" t="s">
        <v>297</v>
      </c>
    </row>
    <row r="34" customFormat="false" ht="21.75" hidden="false" customHeight="true" outlineLevel="0" collapsed="false">
      <c r="B34" s="5" t="s">
        <v>419</v>
      </c>
      <c r="C34" s="5" t="s">
        <v>428</v>
      </c>
      <c r="D34" s="5" t="s">
        <v>297</v>
      </c>
    </row>
    <row r="35" customFormat="false" ht="21.75" hidden="false" customHeight="true" outlineLevel="0" collapsed="false">
      <c r="B35" s="4" t="s">
        <v>419</v>
      </c>
      <c r="C35" s="4" t="s">
        <v>429</v>
      </c>
      <c r="D35" s="4" t="s">
        <v>297</v>
      </c>
    </row>
    <row r="36" customFormat="false" ht="21.75" hidden="false" customHeight="true" outlineLevel="0" collapsed="false">
      <c r="B36" s="5" t="s">
        <v>419</v>
      </c>
      <c r="C36" s="5" t="s">
        <v>430</v>
      </c>
      <c r="D36" s="5" t="s">
        <v>297</v>
      </c>
    </row>
    <row r="37" customFormat="false" ht="21.75" hidden="false" customHeight="true" outlineLevel="0" collapsed="false">
      <c r="B37" s="4" t="s">
        <v>419</v>
      </c>
      <c r="C37" s="4" t="s">
        <v>431</v>
      </c>
      <c r="D37" s="4" t="s">
        <v>297</v>
      </c>
    </row>
    <row r="38" customFormat="false" ht="21.75" hidden="false" customHeight="true" outlineLevel="0" collapsed="false">
      <c r="B38" s="5" t="s">
        <v>419</v>
      </c>
      <c r="C38" s="5" t="s">
        <v>432</v>
      </c>
      <c r="D38" s="5" t="s">
        <v>297</v>
      </c>
    </row>
    <row r="39" customFormat="false" ht="21.75" hidden="false" customHeight="true" outlineLevel="0" collapsed="false">
      <c r="B39" s="4" t="s">
        <v>419</v>
      </c>
      <c r="C39" s="4" t="s">
        <v>433</v>
      </c>
      <c r="D39" s="4" t="s">
        <v>297</v>
      </c>
    </row>
    <row r="40" customFormat="false" ht="21.75" hidden="false" customHeight="true" outlineLevel="0" collapsed="false">
      <c r="B40" s="5" t="s">
        <v>419</v>
      </c>
      <c r="C40" s="5" t="s">
        <v>434</v>
      </c>
      <c r="D40" s="5" t="s">
        <v>297</v>
      </c>
    </row>
    <row r="41" customFormat="false" ht="21.75" hidden="false" customHeight="true" outlineLevel="0" collapsed="false">
      <c r="B41" s="4" t="s">
        <v>419</v>
      </c>
      <c r="C41" s="4" t="s">
        <v>435</v>
      </c>
      <c r="D41" s="4" t="s">
        <v>297</v>
      </c>
    </row>
    <row r="42" customFormat="false" ht="21.75" hidden="false" customHeight="true" outlineLevel="0" collapsed="false">
      <c r="B42" s="5" t="s">
        <v>419</v>
      </c>
      <c r="C42" s="5" t="s">
        <v>436</v>
      </c>
      <c r="D42" s="5" t="s">
        <v>297</v>
      </c>
    </row>
    <row r="43" customFormat="false" ht="21.75" hidden="false" customHeight="true" outlineLevel="0" collapsed="false">
      <c r="B43" s="4" t="s">
        <v>419</v>
      </c>
      <c r="C43" s="4" t="s">
        <v>437</v>
      </c>
      <c r="D43" s="4" t="s">
        <v>297</v>
      </c>
    </row>
    <row r="44" customFormat="false" ht="21.75" hidden="false" customHeight="true" outlineLevel="0" collapsed="false">
      <c r="B44" s="5" t="s">
        <v>419</v>
      </c>
      <c r="C44" s="5" t="s">
        <v>438</v>
      </c>
      <c r="D44" s="5" t="s">
        <v>297</v>
      </c>
    </row>
    <row r="45" customFormat="false" ht="21.75" hidden="false" customHeight="true" outlineLevel="0" collapsed="false">
      <c r="B45" s="4" t="s">
        <v>419</v>
      </c>
      <c r="C45" s="4" t="s">
        <v>439</v>
      </c>
      <c r="D45" s="4" t="s">
        <v>297</v>
      </c>
    </row>
    <row r="46" customFormat="false" ht="21.75" hidden="false" customHeight="true" outlineLevel="0" collapsed="false">
      <c r="B46" s="5" t="s">
        <v>419</v>
      </c>
      <c r="C46" s="5" t="s">
        <v>440</v>
      </c>
      <c r="D46" s="5" t="s">
        <v>297</v>
      </c>
    </row>
    <row r="47" customFormat="false" ht="21.75" hidden="false" customHeight="true" outlineLevel="0" collapsed="false">
      <c r="B47" s="4" t="s">
        <v>419</v>
      </c>
      <c r="C47" s="4" t="s">
        <v>441</v>
      </c>
      <c r="D47" s="4" t="s">
        <v>297</v>
      </c>
    </row>
    <row r="48" customFormat="false" ht="21.75" hidden="false" customHeight="true" outlineLevel="0" collapsed="false">
      <c r="B48" s="5" t="s">
        <v>419</v>
      </c>
      <c r="C48" s="5" t="s">
        <v>442</v>
      </c>
      <c r="D48" s="5" t="s">
        <v>297</v>
      </c>
    </row>
    <row r="49" customFormat="false" ht="21.75" hidden="false" customHeight="true" outlineLevel="0" collapsed="false">
      <c r="B49" s="4" t="s">
        <v>419</v>
      </c>
      <c r="C49" s="4" t="s">
        <v>443</v>
      </c>
      <c r="D49" s="4" t="s">
        <v>297</v>
      </c>
    </row>
    <row r="50" customFormat="false" ht="21.75" hidden="false" customHeight="true" outlineLevel="0" collapsed="false">
      <c r="B50" s="5" t="s">
        <v>419</v>
      </c>
      <c r="C50" s="5" t="s">
        <v>444</v>
      </c>
      <c r="D50" s="5" t="s">
        <v>297</v>
      </c>
    </row>
    <row r="51" customFormat="false" ht="21.75" hidden="false" customHeight="true" outlineLevel="0" collapsed="false">
      <c r="B51" s="4" t="s">
        <v>419</v>
      </c>
      <c r="C51" s="4" t="s">
        <v>445</v>
      </c>
      <c r="D51" s="4" t="s">
        <v>297</v>
      </c>
    </row>
    <row r="52" customFormat="false" ht="21.75" hidden="false" customHeight="true" outlineLevel="0" collapsed="false">
      <c r="B52" s="5" t="s">
        <v>419</v>
      </c>
      <c r="C52" s="5" t="s">
        <v>446</v>
      </c>
      <c r="D52" s="5" t="s">
        <v>297</v>
      </c>
    </row>
    <row r="53" customFormat="false" ht="21.75" hidden="false" customHeight="true" outlineLevel="0" collapsed="false">
      <c r="B53" s="4" t="s">
        <v>419</v>
      </c>
      <c r="C53" s="4" t="s">
        <v>447</v>
      </c>
      <c r="D53" s="4" t="s">
        <v>297</v>
      </c>
    </row>
    <row r="54" customFormat="false" ht="21.75" hidden="false" customHeight="true" outlineLevel="0" collapsed="false">
      <c r="B54" s="5" t="s">
        <v>419</v>
      </c>
      <c r="C54" s="5" t="s">
        <v>448</v>
      </c>
      <c r="D54" s="5" t="s">
        <v>297</v>
      </c>
    </row>
    <row r="55" customFormat="false" ht="21.75" hidden="false" customHeight="true" outlineLevel="0" collapsed="false">
      <c r="B55" s="4" t="s">
        <v>419</v>
      </c>
      <c r="C55" s="4" t="s">
        <v>449</v>
      </c>
      <c r="D55" s="4" t="s">
        <v>297</v>
      </c>
    </row>
    <row r="58" customFormat="false" ht="15" hidden="false" customHeight="false" outlineLevel="0" collapsed="false">
      <c r="B58" s="8" t="s">
        <v>450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70"/>
  </cols>
  <sheetData>
    <row r="2" customFormat="false" ht="31.5" hidden="false" customHeight="true" outlineLevel="0" collapsed="false">
      <c r="B2" s="2" t="s">
        <v>451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452</v>
      </c>
      <c r="C4" s="3" t="s">
        <v>453</v>
      </c>
    </row>
    <row r="5" customFormat="false" ht="21.75" hidden="false" customHeight="true" outlineLevel="0" collapsed="false">
      <c r="B5" s="4" t="s">
        <v>454</v>
      </c>
      <c r="C5" s="4" t="s">
        <v>455</v>
      </c>
    </row>
    <row r="6" customFormat="false" ht="21.75" hidden="false" customHeight="true" outlineLevel="0" collapsed="false">
      <c r="B6" s="5" t="s">
        <v>456</v>
      </c>
      <c r="C6" s="5" t="s">
        <v>457</v>
      </c>
    </row>
    <row r="7" customFormat="false" ht="21.75" hidden="false" customHeight="true" outlineLevel="0" collapsed="false">
      <c r="B7" s="4" t="s">
        <v>458</v>
      </c>
      <c r="C7" s="4" t="s">
        <v>459</v>
      </c>
    </row>
    <row r="8" customFormat="false" ht="21.75" hidden="false" customHeight="true" outlineLevel="0" collapsed="false">
      <c r="B8" s="5" t="s">
        <v>460</v>
      </c>
      <c r="C8" s="5" t="s">
        <v>461</v>
      </c>
    </row>
    <row r="9" customFormat="false" ht="21.75" hidden="false" customHeight="true" outlineLevel="0" collapsed="false">
      <c r="B9" s="4" t="s">
        <v>462</v>
      </c>
      <c r="C9" s="4" t="s">
        <v>463</v>
      </c>
    </row>
    <row r="10" customFormat="false" ht="21.75" hidden="false" customHeight="true" outlineLevel="0" collapsed="false">
      <c r="B10" s="5" t="s">
        <v>464</v>
      </c>
      <c r="C10" s="5" t="s">
        <v>465</v>
      </c>
    </row>
    <row r="11" customFormat="false" ht="21.75" hidden="false" customHeight="true" outlineLevel="0" collapsed="false">
      <c r="B11" s="4" t="s">
        <v>466</v>
      </c>
      <c r="C11" s="4" t="s">
        <v>467</v>
      </c>
    </row>
    <row r="12" customFormat="false" ht="21.75" hidden="false" customHeight="true" outlineLevel="0" collapsed="false">
      <c r="B12" s="5" t="s">
        <v>468</v>
      </c>
      <c r="C12" s="5" t="s">
        <v>469</v>
      </c>
    </row>
    <row r="13" customFormat="false" ht="21.75" hidden="false" customHeight="true" outlineLevel="0" collapsed="false">
      <c r="B13" s="4" t="s">
        <v>470</v>
      </c>
      <c r="C13" s="4" t="s">
        <v>471</v>
      </c>
    </row>
    <row r="14" customFormat="false" ht="21.75" hidden="false" customHeight="true" outlineLevel="0" collapsed="false">
      <c r="B14" s="5" t="s">
        <v>472</v>
      </c>
      <c r="C14" s="5" t="s">
        <v>473</v>
      </c>
    </row>
    <row r="15" customFormat="false" ht="21.75" hidden="false" customHeight="true" outlineLevel="0" collapsed="false">
      <c r="B15" s="4" t="s">
        <v>474</v>
      </c>
      <c r="C15" s="4" t="s">
        <v>475</v>
      </c>
    </row>
    <row r="16" customFormat="false" ht="21.75" hidden="false" customHeight="true" outlineLevel="0" collapsed="false">
      <c r="B16" s="5" t="s">
        <v>476</v>
      </c>
      <c r="C16" s="5" t="s">
        <v>477</v>
      </c>
    </row>
    <row r="17" customFormat="false" ht="21.75" hidden="false" customHeight="true" outlineLevel="0" collapsed="false">
      <c r="B17" s="4" t="s">
        <v>478</v>
      </c>
      <c r="C17" s="4" t="s">
        <v>479</v>
      </c>
    </row>
    <row r="18" customFormat="false" ht="21.75" hidden="false" customHeight="true" outlineLevel="0" collapsed="false">
      <c r="B18" s="5" t="s">
        <v>480</v>
      </c>
      <c r="C18" s="5" t="s">
        <v>481</v>
      </c>
    </row>
    <row r="19" customFormat="false" ht="21.75" hidden="false" customHeight="true" outlineLevel="0" collapsed="false">
      <c r="B19" s="4" t="s">
        <v>482</v>
      </c>
      <c r="C19" s="4" t="s">
        <v>483</v>
      </c>
    </row>
    <row r="20" customFormat="false" ht="21.75" hidden="false" customHeight="true" outlineLevel="0" collapsed="false">
      <c r="B20" s="5" t="s">
        <v>484</v>
      </c>
      <c r="C20" s="5" t="s">
        <v>485</v>
      </c>
    </row>
    <row r="21" customFormat="false" ht="21.75" hidden="false" customHeight="true" outlineLevel="0" collapsed="false">
      <c r="B21" s="4" t="s">
        <v>486</v>
      </c>
      <c r="C21" s="4" t="s">
        <v>487</v>
      </c>
    </row>
    <row r="22" customFormat="false" ht="21.75" hidden="false" customHeight="true" outlineLevel="0" collapsed="false">
      <c r="B22" s="5" t="s">
        <v>488</v>
      </c>
      <c r="C22" s="5" t="s">
        <v>489</v>
      </c>
    </row>
    <row r="23" customFormat="false" ht="21.75" hidden="false" customHeight="true" outlineLevel="0" collapsed="false">
      <c r="B23" s="4" t="s">
        <v>490</v>
      </c>
      <c r="C23" s="4" t="s">
        <v>491</v>
      </c>
    </row>
    <row r="24" customFormat="false" ht="21.75" hidden="false" customHeight="true" outlineLevel="0" collapsed="false">
      <c r="B24" s="5" t="s">
        <v>492</v>
      </c>
      <c r="C24" s="5" t="s">
        <v>493</v>
      </c>
    </row>
    <row r="25" customFormat="false" ht="21.75" hidden="false" customHeight="true" outlineLevel="0" collapsed="false">
      <c r="B25" s="4" t="s">
        <v>494</v>
      </c>
      <c r="C25" s="4" t="s">
        <v>495</v>
      </c>
    </row>
    <row r="26" customFormat="false" ht="21.75" hidden="false" customHeight="true" outlineLevel="0" collapsed="false">
      <c r="B26" s="5" t="s">
        <v>496</v>
      </c>
      <c r="C26" s="5" t="s">
        <v>497</v>
      </c>
    </row>
    <row r="27" customFormat="false" ht="21.75" hidden="false" customHeight="true" outlineLevel="0" collapsed="false">
      <c r="B27" s="4" t="s">
        <v>498</v>
      </c>
      <c r="C27" s="4" t="s">
        <v>499</v>
      </c>
    </row>
    <row r="28" customFormat="false" ht="21.75" hidden="false" customHeight="true" outlineLevel="0" collapsed="false">
      <c r="B28" s="5" t="s">
        <v>500</v>
      </c>
      <c r="C28" s="5" t="s">
        <v>501</v>
      </c>
    </row>
    <row r="29" customFormat="false" ht="21.75" hidden="false" customHeight="true" outlineLevel="0" collapsed="false">
      <c r="B29" s="4" t="s">
        <v>502</v>
      </c>
      <c r="C29" s="4" t="s">
        <v>503</v>
      </c>
    </row>
    <row r="30" customFormat="false" ht="21.75" hidden="false" customHeight="true" outlineLevel="0" collapsed="false">
      <c r="B30" s="5" t="s">
        <v>504</v>
      </c>
      <c r="C30" s="5" t="s">
        <v>505</v>
      </c>
    </row>
    <row r="31" customFormat="false" ht="21.75" hidden="false" customHeight="true" outlineLevel="0" collapsed="false">
      <c r="B31" s="4" t="s">
        <v>506</v>
      </c>
      <c r="C31" s="4" t="s">
        <v>507</v>
      </c>
    </row>
    <row r="32" customFormat="false" ht="21.75" hidden="false" customHeight="true" outlineLevel="0" collapsed="false">
      <c r="B32" s="5" t="s">
        <v>508</v>
      </c>
      <c r="C32" s="5" t="s">
        <v>509</v>
      </c>
    </row>
    <row r="33" customFormat="false" ht="21.75" hidden="false" customHeight="true" outlineLevel="0" collapsed="false">
      <c r="B33" s="4" t="s">
        <v>510</v>
      </c>
      <c r="C33" s="4" t="s">
        <v>511</v>
      </c>
    </row>
    <row r="34" customFormat="false" ht="21.75" hidden="false" customHeight="true" outlineLevel="0" collapsed="false">
      <c r="B34" s="5" t="s">
        <v>512</v>
      </c>
      <c r="C34" s="5" t="s">
        <v>513</v>
      </c>
    </row>
    <row r="35" customFormat="false" ht="21.75" hidden="false" customHeight="true" outlineLevel="0" collapsed="false">
      <c r="B35" s="4" t="s">
        <v>514</v>
      </c>
      <c r="C35" s="4" t="s">
        <v>515</v>
      </c>
    </row>
    <row r="38" customFormat="false" ht="15" hidden="false" customHeight="false" outlineLevel="0" collapsed="false">
      <c r="B38" s="8" t="s">
        <v>516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70"/>
  </cols>
  <sheetData>
    <row r="2" customFormat="false" ht="31.5" hidden="false" customHeight="true" outlineLevel="0" collapsed="false">
      <c r="B2" s="2" t="s">
        <v>517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518</v>
      </c>
      <c r="C4" s="3" t="s">
        <v>360</v>
      </c>
    </row>
    <row r="5" customFormat="false" ht="21.75" hidden="false" customHeight="true" outlineLevel="0" collapsed="false">
      <c r="B5" s="4" t="s">
        <v>519</v>
      </c>
      <c r="C5" s="4" t="s">
        <v>520</v>
      </c>
    </row>
    <row r="6" customFormat="false" ht="21.75" hidden="false" customHeight="true" outlineLevel="0" collapsed="false">
      <c r="B6" s="5" t="s">
        <v>521</v>
      </c>
      <c r="C6" s="5" t="s">
        <v>522</v>
      </c>
    </row>
    <row r="7" customFormat="false" ht="21.75" hidden="false" customHeight="true" outlineLevel="0" collapsed="false">
      <c r="B7" s="4" t="s">
        <v>523</v>
      </c>
      <c r="C7" s="4" t="s">
        <v>524</v>
      </c>
    </row>
    <row r="8" customFormat="false" ht="21.75" hidden="false" customHeight="true" outlineLevel="0" collapsed="false">
      <c r="B8" s="5" t="s">
        <v>525</v>
      </c>
      <c r="C8" s="5" t="s">
        <v>526</v>
      </c>
    </row>
    <row r="9" customFormat="false" ht="21.75" hidden="false" customHeight="true" outlineLevel="0" collapsed="false">
      <c r="B9" s="4" t="s">
        <v>527</v>
      </c>
      <c r="C9" s="4" t="s">
        <v>528</v>
      </c>
    </row>
    <row r="12" customFormat="false" ht="15" hidden="false" customHeight="false" outlineLevel="0" collapsed="false">
      <c r="B12" s="8" t="s">
        <v>529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0"/>
  </cols>
  <sheetData>
    <row r="2" customFormat="false" ht="31.5" hidden="false" customHeight="true" outlineLevel="0" collapsed="false">
      <c r="B2" s="11" t="s">
        <v>530</v>
      </c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531</v>
      </c>
    </row>
    <row r="5" customFormat="false" ht="21.75" hidden="false" customHeight="true" outlineLevel="0" collapsed="false">
      <c r="B5" s="4" t="s">
        <v>532</v>
      </c>
    </row>
    <row r="6" customFormat="false" ht="21.75" hidden="false" customHeight="true" outlineLevel="0" collapsed="false">
      <c r="B6" s="5" t="s">
        <v>533</v>
      </c>
    </row>
    <row r="7" customFormat="false" ht="21.75" hidden="false" customHeight="true" outlineLevel="0" collapsed="false">
      <c r="B7" s="4" t="s">
        <v>534</v>
      </c>
    </row>
    <row r="8" customFormat="false" ht="21.75" hidden="false" customHeight="true" outlineLevel="0" collapsed="false">
      <c r="B8" s="5" t="s">
        <v>535</v>
      </c>
    </row>
    <row r="9" customFormat="false" ht="21.75" hidden="false" customHeight="true" outlineLevel="0" collapsed="false">
      <c r="B9" s="4" t="s">
        <v>536</v>
      </c>
    </row>
    <row r="10" customFormat="false" ht="21.75" hidden="false" customHeight="true" outlineLevel="0" collapsed="false">
      <c r="B10" s="5" t="s">
        <v>537</v>
      </c>
    </row>
    <row r="11" customFormat="false" ht="21.75" hidden="false" customHeight="true" outlineLevel="0" collapsed="false">
      <c r="B11" s="4" t="s">
        <v>538</v>
      </c>
    </row>
    <row r="12" customFormat="false" ht="21.75" hidden="false" customHeight="true" outlineLevel="0" collapsed="false">
      <c r="B12" s="5" t="s">
        <v>539</v>
      </c>
    </row>
    <row r="13" customFormat="false" ht="21.75" hidden="false" customHeight="true" outlineLevel="0" collapsed="false">
      <c r="B13" s="4" t="s">
        <v>540</v>
      </c>
    </row>
    <row r="14" customFormat="false" ht="21.75" hidden="false" customHeight="true" outlineLevel="0" collapsed="false">
      <c r="B14" s="5" t="s">
        <v>541</v>
      </c>
    </row>
    <row r="15" customFormat="false" ht="21.75" hidden="false" customHeight="true" outlineLevel="0" collapsed="false">
      <c r="B15" s="4" t="s">
        <v>542</v>
      </c>
    </row>
    <row r="16" customFormat="false" ht="21.75" hidden="false" customHeight="true" outlineLevel="0" collapsed="false">
      <c r="B16" s="5" t="s">
        <v>543</v>
      </c>
    </row>
    <row r="17" customFormat="false" ht="21.75" hidden="false" customHeight="true" outlineLevel="0" collapsed="false">
      <c r="B17" s="4" t="s">
        <v>544</v>
      </c>
    </row>
    <row r="18" customFormat="false" ht="21.75" hidden="false" customHeight="true" outlineLevel="0" collapsed="false">
      <c r="B18" s="5" t="s">
        <v>545</v>
      </c>
    </row>
    <row r="19" customFormat="false" ht="21.75" hidden="false" customHeight="true" outlineLevel="0" collapsed="false">
      <c r="B19" s="4" t="s">
        <v>546</v>
      </c>
    </row>
    <row r="20" customFormat="false" ht="21.75" hidden="false" customHeight="true" outlineLevel="0" collapsed="false">
      <c r="B20" s="5" t="s">
        <v>547</v>
      </c>
    </row>
    <row r="21" customFormat="false" ht="21.75" hidden="false" customHeight="true" outlineLevel="0" collapsed="false">
      <c r="B21" s="4" t="s">
        <v>548</v>
      </c>
    </row>
    <row r="22" customFormat="false" ht="21.75" hidden="false" customHeight="true" outlineLevel="0" collapsed="false">
      <c r="B22" s="5" t="s">
        <v>549</v>
      </c>
    </row>
    <row r="23" customFormat="false" ht="21.75" hidden="false" customHeight="true" outlineLevel="0" collapsed="false">
      <c r="B23" s="4" t="s">
        <v>550</v>
      </c>
    </row>
    <row r="24" customFormat="false" ht="21.75" hidden="false" customHeight="true" outlineLevel="0" collapsed="false">
      <c r="B24" s="5" t="s">
        <v>551</v>
      </c>
    </row>
    <row r="25" customFormat="false" ht="21.75" hidden="false" customHeight="true" outlineLevel="0" collapsed="false">
      <c r="B25" s="4" t="s">
        <v>552</v>
      </c>
    </row>
    <row r="26" customFormat="false" ht="21.75" hidden="false" customHeight="true" outlineLevel="0" collapsed="false">
      <c r="B26" s="5" t="s">
        <v>553</v>
      </c>
    </row>
    <row r="27" customFormat="false" ht="21.75" hidden="false" customHeight="true" outlineLevel="0" collapsed="false">
      <c r="B27" s="4" t="s">
        <v>554</v>
      </c>
    </row>
    <row r="28" customFormat="false" ht="21.75" hidden="false" customHeight="true" outlineLevel="0" collapsed="false">
      <c r="B28" s="5" t="s">
        <v>555</v>
      </c>
    </row>
    <row r="29" customFormat="false" ht="21.75" hidden="false" customHeight="true" outlineLevel="0" collapsed="false">
      <c r="B29" s="4" t="s">
        <v>556</v>
      </c>
    </row>
    <row r="30" customFormat="false" ht="21.75" hidden="false" customHeight="true" outlineLevel="0" collapsed="false">
      <c r="B30" s="5" t="s">
        <v>557</v>
      </c>
    </row>
    <row r="31" customFormat="false" ht="21.75" hidden="false" customHeight="true" outlineLevel="0" collapsed="false">
      <c r="B31" s="4" t="s">
        <v>558</v>
      </c>
    </row>
    <row r="32" customFormat="false" ht="21.75" hidden="false" customHeight="true" outlineLevel="0" collapsed="false">
      <c r="B32" s="5" t="s">
        <v>559</v>
      </c>
    </row>
    <row r="33" customFormat="false" ht="21.75" hidden="false" customHeight="true" outlineLevel="0" collapsed="false">
      <c r="B33" s="4" t="s">
        <v>560</v>
      </c>
    </row>
    <row r="34" customFormat="false" ht="21.75" hidden="false" customHeight="true" outlineLevel="0" collapsed="false">
      <c r="B34" s="5" t="s">
        <v>561</v>
      </c>
    </row>
    <row r="35" customFormat="false" ht="21.75" hidden="false" customHeight="true" outlineLevel="0" collapsed="false">
      <c r="B35" s="4" t="s">
        <v>562</v>
      </c>
    </row>
    <row r="36" customFormat="false" ht="21.75" hidden="false" customHeight="true" outlineLevel="0" collapsed="false">
      <c r="B36" s="5" t="s">
        <v>563</v>
      </c>
    </row>
    <row r="37" customFormat="false" ht="21.75" hidden="false" customHeight="true" outlineLevel="0" collapsed="false">
      <c r="B37" s="4" t="s">
        <v>564</v>
      </c>
    </row>
    <row r="38" customFormat="false" ht="21.75" hidden="false" customHeight="true" outlineLevel="0" collapsed="false">
      <c r="B38" s="5" t="s">
        <v>565</v>
      </c>
    </row>
    <row r="39" customFormat="false" ht="21.75" hidden="false" customHeight="true" outlineLevel="0" collapsed="false">
      <c r="B39" s="4" t="s">
        <v>566</v>
      </c>
    </row>
    <row r="40" customFormat="false" ht="21.75" hidden="false" customHeight="true" outlineLevel="0" collapsed="false">
      <c r="B40" s="5" t="s">
        <v>567</v>
      </c>
    </row>
    <row r="41" customFormat="false" ht="21.75" hidden="false" customHeight="true" outlineLevel="0" collapsed="false">
      <c r="B41" s="4" t="s">
        <v>568</v>
      </c>
    </row>
    <row r="42" customFormat="false" ht="21.75" hidden="false" customHeight="true" outlineLevel="0" collapsed="false">
      <c r="B42" s="5" t="s">
        <v>569</v>
      </c>
    </row>
    <row r="43" customFormat="false" ht="21.75" hidden="false" customHeight="true" outlineLevel="0" collapsed="false">
      <c r="B43" s="4" t="s">
        <v>570</v>
      </c>
    </row>
    <row r="44" customFormat="false" ht="21.75" hidden="false" customHeight="true" outlineLevel="0" collapsed="false">
      <c r="B44" s="5" t="s">
        <v>571</v>
      </c>
    </row>
    <row r="45" customFormat="false" ht="21.75" hidden="false" customHeight="true" outlineLevel="0" collapsed="false">
      <c r="B45" s="4" t="s">
        <v>572</v>
      </c>
    </row>
    <row r="46" customFormat="false" ht="21.75" hidden="false" customHeight="true" outlineLevel="0" collapsed="false">
      <c r="B46" s="5" t="s">
        <v>573</v>
      </c>
    </row>
    <row r="47" customFormat="false" ht="21.75" hidden="false" customHeight="true" outlineLevel="0" collapsed="false">
      <c r="B47" s="4" t="s">
        <v>574</v>
      </c>
    </row>
    <row r="48" customFormat="false" ht="21.75" hidden="false" customHeight="true" outlineLevel="0" collapsed="false">
      <c r="B48" s="5" t="s">
        <v>575</v>
      </c>
    </row>
    <row r="49" customFormat="false" ht="21.75" hidden="false" customHeight="true" outlineLevel="0" collapsed="false">
      <c r="B49" s="4" t="s">
        <v>576</v>
      </c>
    </row>
    <row r="50" customFormat="false" ht="21.75" hidden="false" customHeight="true" outlineLevel="0" collapsed="false">
      <c r="B50" s="5" t="s">
        <v>577</v>
      </c>
    </row>
    <row r="51" customFormat="false" ht="21.75" hidden="false" customHeight="true" outlineLevel="0" collapsed="false">
      <c r="B51" s="4" t="s">
        <v>578</v>
      </c>
    </row>
    <row r="52" customFormat="false" ht="21.75" hidden="false" customHeight="true" outlineLevel="0" collapsed="false">
      <c r="B52" s="5" t="s">
        <v>579</v>
      </c>
    </row>
    <row r="53" customFormat="false" ht="21.75" hidden="false" customHeight="true" outlineLevel="0" collapsed="false">
      <c r="B53" s="4" t="s">
        <v>580</v>
      </c>
    </row>
    <row r="54" customFormat="false" ht="21.75" hidden="false" customHeight="true" outlineLevel="0" collapsed="false">
      <c r="B54" s="5" t="s">
        <v>581</v>
      </c>
    </row>
    <row r="55" customFormat="false" ht="21.75" hidden="false" customHeight="true" outlineLevel="0" collapsed="false">
      <c r="B55" s="4" t="s">
        <v>582</v>
      </c>
    </row>
    <row r="56" customFormat="false" ht="21.75" hidden="false" customHeight="true" outlineLevel="0" collapsed="false">
      <c r="B56" s="5" t="s">
        <v>583</v>
      </c>
    </row>
    <row r="57" customFormat="false" ht="21.75" hidden="false" customHeight="true" outlineLevel="0" collapsed="false">
      <c r="B57" s="4" t="s">
        <v>584</v>
      </c>
    </row>
    <row r="58" customFormat="false" ht="21.75" hidden="false" customHeight="true" outlineLevel="0" collapsed="false">
      <c r="B58" s="5" t="s">
        <v>585</v>
      </c>
    </row>
    <row r="59" customFormat="false" ht="21.75" hidden="false" customHeight="true" outlineLevel="0" collapsed="false">
      <c r="B59" s="4" t="s">
        <v>586</v>
      </c>
    </row>
    <row r="60" customFormat="false" ht="21.75" hidden="false" customHeight="true" outlineLevel="0" collapsed="false">
      <c r="B60" s="5" t="s">
        <v>587</v>
      </c>
    </row>
    <row r="61" customFormat="false" ht="21.75" hidden="false" customHeight="true" outlineLevel="0" collapsed="false">
      <c r="B61" s="4" t="s">
        <v>588</v>
      </c>
    </row>
    <row r="62" customFormat="false" ht="21.75" hidden="false" customHeight="true" outlineLevel="0" collapsed="false">
      <c r="B62" s="5" t="s">
        <v>589</v>
      </c>
    </row>
    <row r="63" customFormat="false" ht="21.75" hidden="false" customHeight="true" outlineLevel="0" collapsed="false">
      <c r="B63" s="4" t="s">
        <v>590</v>
      </c>
    </row>
    <row r="64" customFormat="false" ht="21.75" hidden="false" customHeight="true" outlineLevel="0" collapsed="false">
      <c r="B64" s="5" t="s">
        <v>591</v>
      </c>
    </row>
    <row r="65" customFormat="false" ht="21.75" hidden="false" customHeight="true" outlineLevel="0" collapsed="false">
      <c r="B65" s="4" t="s">
        <v>592</v>
      </c>
    </row>
    <row r="66" customFormat="false" ht="21.75" hidden="false" customHeight="true" outlineLevel="0" collapsed="false">
      <c r="B66" s="5" t="s">
        <v>593</v>
      </c>
    </row>
    <row r="67" customFormat="false" ht="21.75" hidden="false" customHeight="true" outlineLevel="0" collapsed="false">
      <c r="B67" s="4" t="s">
        <v>594</v>
      </c>
    </row>
    <row r="68" customFormat="false" ht="21.75" hidden="false" customHeight="true" outlineLevel="0" collapsed="false">
      <c r="B68" s="5" t="s">
        <v>595</v>
      </c>
    </row>
    <row r="69" customFormat="false" ht="21.75" hidden="false" customHeight="true" outlineLevel="0" collapsed="false">
      <c r="B69" s="4" t="s">
        <v>596</v>
      </c>
    </row>
    <row r="70" customFormat="false" ht="21.75" hidden="false" customHeight="true" outlineLevel="0" collapsed="false">
      <c r="B70" s="5" t="s">
        <v>597</v>
      </c>
    </row>
    <row r="71" customFormat="false" ht="21.75" hidden="false" customHeight="true" outlineLevel="0" collapsed="false">
      <c r="B71" s="4" t="s">
        <v>598</v>
      </c>
    </row>
    <row r="72" customFormat="false" ht="21.75" hidden="false" customHeight="true" outlineLevel="0" collapsed="false">
      <c r="B72" s="5" t="s">
        <v>599</v>
      </c>
    </row>
    <row r="73" customFormat="false" ht="21.75" hidden="false" customHeight="true" outlineLevel="0" collapsed="false">
      <c r="B73" s="4" t="s">
        <v>600</v>
      </c>
    </row>
    <row r="74" customFormat="false" ht="21.75" hidden="false" customHeight="true" outlineLevel="0" collapsed="false">
      <c r="B74" s="5" t="s">
        <v>601</v>
      </c>
    </row>
    <row r="75" customFormat="false" ht="21.75" hidden="false" customHeight="true" outlineLevel="0" collapsed="false">
      <c r="B75" s="4" t="s">
        <v>602</v>
      </c>
    </row>
    <row r="76" customFormat="false" ht="21.75" hidden="false" customHeight="true" outlineLevel="0" collapsed="false">
      <c r="B76" s="5" t="s">
        <v>603</v>
      </c>
    </row>
    <row r="77" customFormat="false" ht="21.75" hidden="false" customHeight="true" outlineLevel="0" collapsed="false">
      <c r="B77" s="4" t="s">
        <v>604</v>
      </c>
    </row>
    <row r="78" customFormat="false" ht="21.75" hidden="false" customHeight="true" outlineLevel="0" collapsed="false">
      <c r="B78" s="5" t="s">
        <v>605</v>
      </c>
    </row>
    <row r="79" customFormat="false" ht="21.75" hidden="false" customHeight="true" outlineLevel="0" collapsed="false">
      <c r="B79" s="4" t="s">
        <v>606</v>
      </c>
    </row>
    <row r="80" customFormat="false" ht="21.75" hidden="false" customHeight="true" outlineLevel="0" collapsed="false">
      <c r="B80" s="5" t="s">
        <v>607</v>
      </c>
    </row>
    <row r="81" customFormat="false" ht="21.75" hidden="false" customHeight="true" outlineLevel="0" collapsed="false">
      <c r="B81" s="4" t="s">
        <v>608</v>
      </c>
    </row>
    <row r="82" customFormat="false" ht="21.75" hidden="false" customHeight="true" outlineLevel="0" collapsed="false">
      <c r="B82" s="5" t="s">
        <v>609</v>
      </c>
    </row>
    <row r="83" customFormat="false" ht="21.75" hidden="false" customHeight="true" outlineLevel="0" collapsed="false">
      <c r="B83" s="4" t="s">
        <v>610</v>
      </c>
    </row>
    <row r="84" customFormat="false" ht="21.75" hidden="false" customHeight="true" outlineLevel="0" collapsed="false">
      <c r="B84" s="5" t="s">
        <v>611</v>
      </c>
    </row>
    <row r="85" customFormat="false" ht="21.75" hidden="false" customHeight="true" outlineLevel="0" collapsed="false">
      <c r="B85" s="4" t="s">
        <v>612</v>
      </c>
    </row>
    <row r="86" customFormat="false" ht="21.75" hidden="false" customHeight="true" outlineLevel="0" collapsed="false">
      <c r="B86" s="5" t="s">
        <v>613</v>
      </c>
    </row>
    <row r="87" customFormat="false" ht="21.75" hidden="false" customHeight="true" outlineLevel="0" collapsed="false">
      <c r="B87" s="4" t="s">
        <v>614</v>
      </c>
    </row>
    <row r="88" customFormat="false" ht="21.75" hidden="false" customHeight="true" outlineLevel="0" collapsed="false">
      <c r="B88" s="5" t="s">
        <v>615</v>
      </c>
    </row>
    <row r="89" customFormat="false" ht="21.75" hidden="false" customHeight="true" outlineLevel="0" collapsed="false">
      <c r="B89" s="4" t="s">
        <v>616</v>
      </c>
    </row>
    <row r="90" customFormat="false" ht="21.75" hidden="false" customHeight="true" outlineLevel="0" collapsed="false">
      <c r="B90" s="5" t="s">
        <v>617</v>
      </c>
    </row>
    <row r="91" customFormat="false" ht="21.75" hidden="false" customHeight="true" outlineLevel="0" collapsed="false">
      <c r="B91" s="4" t="s">
        <v>618</v>
      </c>
    </row>
    <row r="92" customFormat="false" ht="21.75" hidden="false" customHeight="true" outlineLevel="0" collapsed="false">
      <c r="B92" s="5" t="s">
        <v>619</v>
      </c>
    </row>
    <row r="93" customFormat="false" ht="21.75" hidden="false" customHeight="true" outlineLevel="0" collapsed="false">
      <c r="B93" s="4" t="s">
        <v>620</v>
      </c>
    </row>
    <row r="94" customFormat="false" ht="21.75" hidden="false" customHeight="true" outlineLevel="0" collapsed="false">
      <c r="B94" s="5" t="s">
        <v>621</v>
      </c>
    </row>
    <row r="95" customFormat="false" ht="21.75" hidden="false" customHeight="true" outlineLevel="0" collapsed="false">
      <c r="B95" s="4" t="s">
        <v>622</v>
      </c>
    </row>
    <row r="96" customFormat="false" ht="21.75" hidden="false" customHeight="true" outlineLevel="0" collapsed="false">
      <c r="B96" s="5" t="s">
        <v>623</v>
      </c>
    </row>
    <row r="97" customFormat="false" ht="21.75" hidden="false" customHeight="true" outlineLevel="0" collapsed="false">
      <c r="B97" s="4" t="s">
        <v>624</v>
      </c>
    </row>
    <row r="98" customFormat="false" ht="21.75" hidden="false" customHeight="true" outlineLevel="0" collapsed="false">
      <c r="B98" s="5" t="s">
        <v>625</v>
      </c>
    </row>
    <row r="99" customFormat="false" ht="21.75" hidden="false" customHeight="true" outlineLevel="0" collapsed="false">
      <c r="B99" s="4" t="s">
        <v>626</v>
      </c>
    </row>
    <row r="100" customFormat="false" ht="21.75" hidden="false" customHeight="true" outlineLevel="0" collapsed="false">
      <c r="B100" s="5" t="s">
        <v>627</v>
      </c>
    </row>
    <row r="101" customFormat="false" ht="21.75" hidden="false" customHeight="true" outlineLevel="0" collapsed="false">
      <c r="B101" s="4" t="s">
        <v>628</v>
      </c>
    </row>
    <row r="102" customFormat="false" ht="21.75" hidden="false" customHeight="true" outlineLevel="0" collapsed="false">
      <c r="B102" s="5" t="s">
        <v>629</v>
      </c>
    </row>
    <row r="103" customFormat="false" ht="21.75" hidden="false" customHeight="true" outlineLevel="0" collapsed="false">
      <c r="B103" s="4" t="s">
        <v>630</v>
      </c>
    </row>
    <row r="104" customFormat="false" ht="21.75" hidden="false" customHeight="true" outlineLevel="0" collapsed="false">
      <c r="B104" s="5" t="s">
        <v>631</v>
      </c>
    </row>
    <row r="105" customFormat="false" ht="21.75" hidden="false" customHeight="true" outlineLevel="0" collapsed="false">
      <c r="B105" s="4" t="s">
        <v>632</v>
      </c>
    </row>
    <row r="106" customFormat="false" ht="21.75" hidden="false" customHeight="true" outlineLevel="0" collapsed="false">
      <c r="B106" s="5" t="s">
        <v>633</v>
      </c>
    </row>
    <row r="107" customFormat="false" ht="21.75" hidden="false" customHeight="true" outlineLevel="0" collapsed="false">
      <c r="B107" s="4" t="s">
        <v>634</v>
      </c>
    </row>
    <row r="108" customFormat="false" ht="21.75" hidden="false" customHeight="true" outlineLevel="0" collapsed="false">
      <c r="B108" s="5" t="s">
        <v>635</v>
      </c>
    </row>
    <row r="109" customFormat="false" ht="21.75" hidden="false" customHeight="true" outlineLevel="0" collapsed="false">
      <c r="B109" s="4" t="s">
        <v>636</v>
      </c>
    </row>
    <row r="110" customFormat="false" ht="21.75" hidden="false" customHeight="true" outlineLevel="0" collapsed="false">
      <c r="B110" s="5" t="s">
        <v>637</v>
      </c>
    </row>
    <row r="111" customFormat="false" ht="21.75" hidden="false" customHeight="true" outlineLevel="0" collapsed="false">
      <c r="B111" s="4" t="s">
        <v>638</v>
      </c>
    </row>
    <row r="112" customFormat="false" ht="21.75" hidden="false" customHeight="true" outlineLevel="0" collapsed="false">
      <c r="B112" s="5" t="s">
        <v>639</v>
      </c>
    </row>
    <row r="113" customFormat="false" ht="21.75" hidden="false" customHeight="true" outlineLevel="0" collapsed="false">
      <c r="B113" s="4" t="s">
        <v>640</v>
      </c>
    </row>
    <row r="114" customFormat="false" ht="21.75" hidden="false" customHeight="true" outlineLevel="0" collapsed="false">
      <c r="B114" s="5" t="s">
        <v>641</v>
      </c>
    </row>
    <row r="115" customFormat="false" ht="21.75" hidden="false" customHeight="true" outlineLevel="0" collapsed="false">
      <c r="B115" s="4" t="s">
        <v>642</v>
      </c>
    </row>
    <row r="116" customFormat="false" ht="21.75" hidden="false" customHeight="true" outlineLevel="0" collapsed="false">
      <c r="B116" s="5" t="s">
        <v>643</v>
      </c>
    </row>
    <row r="117" customFormat="false" ht="21.75" hidden="false" customHeight="true" outlineLevel="0" collapsed="false">
      <c r="B117" s="4" t="s">
        <v>644</v>
      </c>
    </row>
    <row r="118" customFormat="false" ht="21.75" hidden="false" customHeight="true" outlineLevel="0" collapsed="false">
      <c r="B118" s="5" t="s">
        <v>645</v>
      </c>
    </row>
    <row r="119" customFormat="false" ht="21.75" hidden="false" customHeight="true" outlineLevel="0" collapsed="false">
      <c r="B119" s="4" t="s">
        <v>646</v>
      </c>
    </row>
    <row r="120" customFormat="false" ht="21.75" hidden="false" customHeight="true" outlineLevel="0" collapsed="false">
      <c r="B120" s="5" t="s">
        <v>647</v>
      </c>
    </row>
    <row r="123" customFormat="false" ht="15" hidden="false" customHeight="false" outlineLevel="0" collapsed="false">
      <c r="B123" s="8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80"/>
  </cols>
  <sheetData>
    <row r="2" customFormat="false" ht="31.5" hidden="false" customHeight="true" outlineLevel="0" collapsed="false">
      <c r="B2" s="2" t="s">
        <v>649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650</v>
      </c>
      <c r="C4" s="3" t="s">
        <v>360</v>
      </c>
    </row>
    <row r="5" customFormat="false" ht="21.75" hidden="false" customHeight="true" outlineLevel="0" collapsed="false">
      <c r="B5" s="4" t="s">
        <v>4</v>
      </c>
      <c r="C5" s="4" t="s">
        <v>651</v>
      </c>
    </row>
    <row r="6" customFormat="false" ht="21.75" hidden="false" customHeight="true" outlineLevel="0" collapsed="false">
      <c r="B6" s="5" t="s">
        <v>652</v>
      </c>
      <c r="C6" s="5" t="s">
        <v>653</v>
      </c>
    </row>
    <row r="7" customFormat="false" ht="21.75" hidden="false" customHeight="true" outlineLevel="0" collapsed="false">
      <c r="B7" s="4" t="s">
        <v>654</v>
      </c>
      <c r="C7" s="4" t="s">
        <v>655</v>
      </c>
    </row>
    <row r="8" customFormat="false" ht="21.75" hidden="false" customHeight="true" outlineLevel="0" collapsed="false">
      <c r="B8" s="5" t="s">
        <v>656</v>
      </c>
      <c r="C8" s="5" t="s">
        <v>657</v>
      </c>
    </row>
    <row r="11" customFormat="false" ht="15" hidden="false" customHeight="false" outlineLevel="0" collapsed="false">
      <c r="B11" s="8" t="s">
        <v>658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46"/>
  </cols>
  <sheetData>
    <row r="2" customFormat="false" ht="31.5" hidden="false" customHeight="true" outlineLevel="0" collapsed="false">
      <c r="B2" s="2" t="s">
        <v>659</v>
      </c>
      <c r="C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660</v>
      </c>
      <c r="C4" s="3" t="s">
        <v>661</v>
      </c>
    </row>
    <row r="5" customFormat="false" ht="21.75" hidden="false" customHeight="true" outlineLevel="0" collapsed="false">
      <c r="B5" s="4" t="s">
        <v>5</v>
      </c>
      <c r="C5" s="4" t="s">
        <v>662</v>
      </c>
    </row>
    <row r="6" customFormat="false" ht="21.75" hidden="false" customHeight="true" outlineLevel="0" collapsed="false">
      <c r="B6" s="5" t="s">
        <v>663</v>
      </c>
      <c r="C6" s="5" t="s">
        <v>664</v>
      </c>
    </row>
    <row r="7" customFormat="false" ht="21.75" hidden="false" customHeight="true" outlineLevel="0" collapsed="false">
      <c r="B7" s="4" t="s">
        <v>665</v>
      </c>
      <c r="C7" s="4" t="s">
        <v>666</v>
      </c>
    </row>
    <row r="8" customFormat="false" ht="21.75" hidden="false" customHeight="true" outlineLevel="0" collapsed="false">
      <c r="B8" s="5" t="s">
        <v>667</v>
      </c>
      <c r="C8" s="5" t="s">
        <v>668</v>
      </c>
    </row>
    <row r="9" customFormat="false" ht="21.75" hidden="false" customHeight="true" outlineLevel="0" collapsed="false">
      <c r="B9" s="4" t="s">
        <v>669</v>
      </c>
      <c r="C9" s="4" t="s">
        <v>670</v>
      </c>
    </row>
    <row r="10" customFormat="false" ht="21.75" hidden="false" customHeight="true" outlineLevel="0" collapsed="false">
      <c r="B10" s="5" t="s">
        <v>16</v>
      </c>
      <c r="C10" s="5" t="s">
        <v>671</v>
      </c>
    </row>
    <row r="11" customFormat="false" ht="21.75" hidden="false" customHeight="true" outlineLevel="0" collapsed="false">
      <c r="B11" s="4" t="s">
        <v>672</v>
      </c>
      <c r="C11" s="4" t="s">
        <v>673</v>
      </c>
    </row>
    <row r="12" customFormat="false" ht="21.75" hidden="false" customHeight="true" outlineLevel="0" collapsed="false">
      <c r="B12" s="5" t="s">
        <v>674</v>
      </c>
      <c r="C12" s="5" t="s">
        <v>675</v>
      </c>
    </row>
    <row r="13" customFormat="false" ht="21.75" hidden="false" customHeight="true" outlineLevel="0" collapsed="false">
      <c r="B13" s="4" t="s">
        <v>676</v>
      </c>
      <c r="C13" s="4" t="s">
        <v>677</v>
      </c>
    </row>
    <row r="14" customFormat="false" ht="21.75" hidden="false" customHeight="true" outlineLevel="0" collapsed="false">
      <c r="B14" s="5" t="s">
        <v>678</v>
      </c>
      <c r="C14" s="5" t="s">
        <v>679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2026-10-10T03:05:55Z</dcterms:created>
  <dc:creator>Z.ai</dc:creator>
  <dc:description/>
  <dc:language>en-US</dc:language>
  <cp:lastModifiedBy/>
  <dcterms:modified xsi:type="dcterms:W3CDTF">2026-10-10T03:05:55Z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